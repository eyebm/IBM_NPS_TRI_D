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9.xml" ContentType="application/vnd.openxmlformats-officedocument.themeOverrid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5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ncanscottmartinson/Documents/Tri-D/Templates/"/>
    </mc:Choice>
  </mc:AlternateContent>
  <xr:revisionPtr revIDLastSave="0" documentId="13_ncr:1_{DDCE55BC-9CD6-964A-BDEE-0184B4662AAC}" xr6:coauthVersionLast="47" xr6:coauthVersionMax="47" xr10:uidLastSave="{00000000-0000-0000-0000-000000000000}"/>
  <bookViews>
    <workbookView xWindow="0" yWindow="760" windowWidth="33600" windowHeight="19880" activeTab="3" xr2:uid="{9457B062-4FFD-3D40-82AE-93727E638F8A}"/>
  </bookViews>
  <sheets>
    <sheet name="TOPS_BY_RTIME" sheetId="82" state="hidden" r:id="rId1"/>
    <sheet name="TOPS_BY_QTIME" sheetId="81" state="hidden" r:id="rId2"/>
    <sheet name="TOPS_BY_VOLUME" sheetId="76" state="hidden" r:id="rId3"/>
    <sheet name="COMBINED_USERS" sheetId="72" r:id="rId4"/>
    <sheet name="HEATMAP" sheetId="74" r:id="rId5"/>
    <sheet name=" APP_RXINSIGHT_PRD_TRI_D    " sheetId="58" state="hidden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7" i="74" l="1"/>
  <c r="AQ8" i="74"/>
  <c r="AQ9" i="74"/>
  <c r="AQ10" i="74"/>
  <c r="AQ11" i="74"/>
  <c r="AQ12" i="74"/>
  <c r="AQ13" i="74"/>
  <c r="AQ14" i="74"/>
  <c r="AQ15" i="74"/>
  <c r="AQ16" i="74"/>
  <c r="AQ17" i="74"/>
  <c r="AQ18" i="74"/>
  <c r="AQ19" i="74"/>
  <c r="AQ20" i="74"/>
  <c r="AQ21" i="74"/>
  <c r="AQ22" i="74"/>
  <c r="AQ23" i="74"/>
  <c r="AQ24" i="74"/>
  <c r="AQ25" i="74"/>
  <c r="AQ26" i="74"/>
  <c r="AQ27" i="74"/>
  <c r="AQ28" i="74"/>
  <c r="AQ29" i="74"/>
  <c r="AQ6" i="74"/>
  <c r="AR29" i="74" l="1"/>
  <c r="AS29" i="74" s="1"/>
  <c r="AT29" i="74"/>
  <c r="AR28" i="74"/>
  <c r="AS28" i="74" s="1"/>
  <c r="AT28" i="74"/>
  <c r="AR27" i="74"/>
  <c r="AS27" i="74" s="1"/>
  <c r="AT27" i="74"/>
  <c r="AR26" i="74"/>
  <c r="AS26" i="74" s="1"/>
  <c r="AT26" i="74"/>
  <c r="AT25" i="74"/>
  <c r="AR25" i="74"/>
  <c r="AS25" i="74" s="1"/>
  <c r="AU25" i="74" s="1"/>
  <c r="AV25" i="74" s="1"/>
  <c r="AR24" i="74"/>
  <c r="AS24" i="74" s="1"/>
  <c r="AT24" i="74"/>
  <c r="AR23" i="74"/>
  <c r="AS23" i="74" s="1"/>
  <c r="AT23" i="74"/>
  <c r="AR22" i="74"/>
  <c r="AS22" i="74" s="1"/>
  <c r="AT22" i="74"/>
  <c r="AR21" i="74"/>
  <c r="AS21" i="74" s="1"/>
  <c r="AT21" i="74"/>
  <c r="AR20" i="74"/>
  <c r="AS20" i="74" s="1"/>
  <c r="AT20" i="74"/>
  <c r="AR19" i="74"/>
  <c r="AS19" i="74" s="1"/>
  <c r="AT19" i="74"/>
  <c r="AR18" i="74"/>
  <c r="AS18" i="74" s="1"/>
  <c r="AT18" i="74"/>
  <c r="AR17" i="74"/>
  <c r="AS17" i="74" s="1"/>
  <c r="AT17" i="74"/>
  <c r="AR16" i="74"/>
  <c r="AS16" i="74" s="1"/>
  <c r="AT16" i="74"/>
  <c r="AR15" i="74"/>
  <c r="AS15" i="74" s="1"/>
  <c r="AT15" i="74"/>
  <c r="AR14" i="74"/>
  <c r="AS14" i="74" s="1"/>
  <c r="AT14" i="74"/>
  <c r="AR13" i="74"/>
  <c r="AS13" i="74" s="1"/>
  <c r="AT13" i="74"/>
  <c r="AR12" i="74"/>
  <c r="AS12" i="74" s="1"/>
  <c r="AT12" i="74"/>
  <c r="AR11" i="74"/>
  <c r="AS11" i="74" s="1"/>
  <c r="AT11" i="74"/>
  <c r="AR10" i="74"/>
  <c r="AS10" i="74" s="1"/>
  <c r="AT10" i="74"/>
  <c r="AR9" i="74"/>
  <c r="AS9" i="74" s="1"/>
  <c r="AT9" i="74"/>
  <c r="AR8" i="74"/>
  <c r="AS8" i="74" s="1"/>
  <c r="AT8" i="74"/>
  <c r="AR7" i="74"/>
  <c r="AS7" i="74" s="1"/>
  <c r="AT7" i="74"/>
  <c r="AR6" i="74"/>
  <c r="AS6" i="74" s="1"/>
  <c r="AT6" i="74"/>
  <c r="AU19" i="74" l="1"/>
  <c r="AV19" i="74" s="1"/>
  <c r="AU9" i="74"/>
  <c r="AV9" i="74" s="1"/>
  <c r="AU15" i="74"/>
  <c r="AV15" i="74" s="1"/>
  <c r="AU13" i="74"/>
  <c r="AV13" i="74" s="1"/>
  <c r="AU21" i="74"/>
  <c r="AV21" i="74" s="1"/>
  <c r="AU11" i="74"/>
  <c r="AV11" i="74" s="1"/>
  <c r="AU7" i="74"/>
  <c r="AV7" i="74" s="1"/>
  <c r="AU17" i="74"/>
  <c r="AV17" i="74" s="1"/>
  <c r="AU18" i="74"/>
  <c r="AV18" i="74" s="1"/>
  <c r="AU27" i="74"/>
  <c r="AV27" i="74" s="1"/>
  <c r="AU23" i="74"/>
  <c r="AV23" i="74" s="1"/>
  <c r="AU29" i="74"/>
  <c r="AV29" i="74" s="1"/>
  <c r="AU6" i="74"/>
  <c r="AV6" i="74" s="1"/>
  <c r="AU22" i="74"/>
  <c r="AV22" i="74" s="1"/>
  <c r="AU14" i="74"/>
  <c r="AV14" i="74" s="1"/>
  <c r="AU26" i="74"/>
  <c r="AV26" i="74" s="1"/>
  <c r="AU10" i="74"/>
  <c r="AV10" i="74" s="1"/>
  <c r="AU28" i="74"/>
  <c r="AV28" i="74" s="1"/>
  <c r="AU24" i="74"/>
  <c r="AV24" i="74" s="1"/>
  <c r="AU8" i="74"/>
  <c r="AV8" i="74" s="1"/>
  <c r="AU12" i="74"/>
  <c r="AV12" i="74" s="1"/>
  <c r="AU16" i="74"/>
  <c r="AV16" i="74" s="1"/>
  <c r="AU20" i="74"/>
  <c r="AV20" i="74" s="1"/>
  <c r="AN10" i="72"/>
  <c r="AN9" i="72"/>
  <c r="AN8" i="72"/>
  <c r="AN7" i="72"/>
  <c r="AN6" i="72"/>
  <c r="AN5" i="72"/>
  <c r="AN4" i="72"/>
  <c r="AN3" i="72"/>
  <c r="AH6" i="74" l="1"/>
  <c r="AH7" i="74"/>
  <c r="AH8" i="74"/>
  <c r="AH9" i="74"/>
  <c r="AH10" i="74"/>
  <c r="AH11" i="74"/>
  <c r="AH12" i="74"/>
  <c r="AH13" i="74"/>
  <c r="AH14" i="74"/>
  <c r="AH15" i="74"/>
  <c r="AH16" i="74"/>
  <c r="AH17" i="74"/>
  <c r="AH18" i="74"/>
  <c r="AH19" i="74"/>
  <c r="AH20" i="74"/>
  <c r="AH21" i="74"/>
  <c r="AH22" i="74"/>
  <c r="AH23" i="74"/>
  <c r="AH24" i="74"/>
  <c r="AH25" i="74"/>
  <c r="AH26" i="74"/>
  <c r="AH27" i="74"/>
  <c r="AH28" i="74"/>
  <c r="AH5" i="74"/>
  <c r="AH3" i="74"/>
  <c r="AA6" i="74"/>
  <c r="AA7" i="74"/>
  <c r="AA8" i="74"/>
  <c r="AA9" i="74"/>
  <c r="AA10" i="74"/>
  <c r="AA11" i="74"/>
  <c r="AA12" i="74"/>
  <c r="AA13" i="74"/>
  <c r="AA14" i="74"/>
  <c r="AA15" i="74"/>
  <c r="AA16" i="74"/>
  <c r="AA17" i="74"/>
  <c r="AA18" i="74"/>
  <c r="AA19" i="74"/>
  <c r="AA20" i="74"/>
  <c r="AA21" i="74"/>
  <c r="AA22" i="74"/>
  <c r="AA23" i="74"/>
  <c r="AA24" i="74"/>
  <c r="AA25" i="74"/>
  <c r="AA26" i="74"/>
  <c r="AA27" i="74"/>
  <c r="AA28" i="74"/>
  <c r="AA5" i="74"/>
  <c r="F114" i="72" l="1"/>
  <c r="AB5" i="74" l="1"/>
  <c r="AG28" i="74" l="1"/>
  <c r="AG27" i="74"/>
  <c r="AG26" i="74"/>
  <c r="AG25" i="74"/>
  <c r="AG24" i="74"/>
  <c r="AG23" i="74"/>
  <c r="AG22" i="74"/>
  <c r="AG21" i="74"/>
  <c r="AG20" i="74"/>
  <c r="AG19" i="74"/>
  <c r="AG18" i="74"/>
  <c r="AG17" i="74"/>
  <c r="AG16" i="74"/>
  <c r="AG15" i="74"/>
  <c r="AG14" i="74"/>
  <c r="AG13" i="74"/>
  <c r="AG12" i="74"/>
  <c r="AG11" i="74"/>
  <c r="AG10" i="74"/>
  <c r="AG9" i="74"/>
  <c r="AG8" i="74"/>
  <c r="AG7" i="74"/>
  <c r="AG6" i="74"/>
  <c r="AG5" i="74"/>
  <c r="AG3" i="74"/>
  <c r="AF3" i="74"/>
  <c r="AE3" i="74"/>
  <c r="AD3" i="74"/>
  <c r="AC3" i="74"/>
  <c r="AB3" i="74"/>
  <c r="AA3" i="74"/>
  <c r="AE28" i="74"/>
  <c r="AE27" i="74"/>
  <c r="AE26" i="74"/>
  <c r="AE25" i="74"/>
  <c r="AE24" i="74"/>
  <c r="AE23" i="74"/>
  <c r="AE22" i="74"/>
  <c r="AE21" i="74"/>
  <c r="AE20" i="74"/>
  <c r="AE19" i="74"/>
  <c r="AE18" i="74"/>
  <c r="AE17" i="74"/>
  <c r="AE16" i="74"/>
  <c r="AE15" i="74"/>
  <c r="AE14" i="74"/>
  <c r="AE13" i="74"/>
  <c r="AE12" i="74"/>
  <c r="AE11" i="74"/>
  <c r="AE10" i="74"/>
  <c r="AE9" i="74"/>
  <c r="AE8" i="74"/>
  <c r="AE7" i="74"/>
  <c r="AE6" i="74"/>
  <c r="AE5" i="74"/>
  <c r="AF28" i="74"/>
  <c r="AF27" i="74"/>
  <c r="AF26" i="74"/>
  <c r="AF25" i="74"/>
  <c r="AF24" i="74"/>
  <c r="AF23" i="74"/>
  <c r="AF22" i="74"/>
  <c r="AF21" i="74"/>
  <c r="AF20" i="74"/>
  <c r="AF19" i="74"/>
  <c r="AF18" i="74"/>
  <c r="AF17" i="74"/>
  <c r="AF16" i="74"/>
  <c r="AF15" i="74"/>
  <c r="AF14" i="74"/>
  <c r="AF13" i="74"/>
  <c r="AF12" i="74"/>
  <c r="AF11" i="74"/>
  <c r="AF10" i="74"/>
  <c r="AF9" i="74"/>
  <c r="AF8" i="74"/>
  <c r="AF7" i="74"/>
  <c r="AF6" i="74"/>
  <c r="AF5" i="74"/>
  <c r="AD28" i="74"/>
  <c r="AC28" i="74"/>
  <c r="AB28" i="74"/>
  <c r="AD27" i="74"/>
  <c r="AC27" i="74"/>
  <c r="AB27" i="74"/>
  <c r="AD26" i="74"/>
  <c r="AC26" i="74"/>
  <c r="AB26" i="74"/>
  <c r="AD25" i="74"/>
  <c r="AC25" i="74"/>
  <c r="AB25" i="74"/>
  <c r="AD24" i="74"/>
  <c r="AC24" i="74"/>
  <c r="AB24" i="74"/>
  <c r="AD23" i="74"/>
  <c r="AC23" i="74"/>
  <c r="AB23" i="74"/>
  <c r="AD22" i="74"/>
  <c r="AC22" i="74"/>
  <c r="AB22" i="74"/>
  <c r="AD21" i="74"/>
  <c r="AC21" i="74"/>
  <c r="AB21" i="74"/>
  <c r="AD20" i="74"/>
  <c r="AC20" i="74"/>
  <c r="AB20" i="74"/>
  <c r="AD19" i="74"/>
  <c r="AC19" i="74"/>
  <c r="AB19" i="74"/>
  <c r="AD18" i="74"/>
  <c r="AC18" i="74"/>
  <c r="AB18" i="74"/>
  <c r="AD17" i="74"/>
  <c r="AC17" i="74"/>
  <c r="AB17" i="74"/>
  <c r="AD16" i="74"/>
  <c r="AC16" i="74"/>
  <c r="AB16" i="74"/>
  <c r="AD15" i="74"/>
  <c r="AC15" i="74"/>
  <c r="AB15" i="74"/>
  <c r="AD14" i="74"/>
  <c r="AC14" i="74"/>
  <c r="AB14" i="74"/>
  <c r="AD13" i="74"/>
  <c r="AC13" i="74"/>
  <c r="AB13" i="74"/>
  <c r="AD12" i="74"/>
  <c r="AC12" i="74"/>
  <c r="AB12" i="74"/>
  <c r="AD11" i="74"/>
  <c r="AC11" i="74"/>
  <c r="AB11" i="74"/>
  <c r="AD10" i="74"/>
  <c r="AC10" i="74"/>
  <c r="AB10" i="74"/>
  <c r="AD9" i="74"/>
  <c r="AC9" i="74"/>
  <c r="AB9" i="74"/>
  <c r="AD8" i="74"/>
  <c r="AC8" i="74"/>
  <c r="AB8" i="74"/>
  <c r="AD7" i="74"/>
  <c r="AC7" i="74"/>
  <c r="AB7" i="74"/>
  <c r="AD6" i="74"/>
  <c r="AC6" i="74"/>
  <c r="AB6" i="74"/>
  <c r="AD5" i="74"/>
  <c r="AC5" i="74"/>
  <c r="F55" i="72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37" i="58"/>
  <c r="F36" i="58"/>
  <c r="F35" i="58"/>
  <c r="F34" i="58"/>
  <c r="F33" i="58"/>
  <c r="F32" i="58"/>
  <c r="F31" i="58"/>
  <c r="F30" i="58"/>
  <c r="F29" i="58"/>
  <c r="F28" i="58"/>
  <c r="F27" i="58"/>
  <c r="AI26" i="58"/>
  <c r="AJ26" i="58" s="1"/>
  <c r="AL26" i="58" s="1"/>
  <c r="AH26" i="58"/>
  <c r="AK26" i="58"/>
  <c r="F26" i="58"/>
  <c r="AI25" i="58"/>
  <c r="AJ25" i="58" s="1"/>
  <c r="AH25" i="58"/>
  <c r="AK25" i="58" s="1"/>
  <c r="F25" i="58"/>
  <c r="AI24" i="58"/>
  <c r="AJ24" i="58" s="1"/>
  <c r="AH24" i="58"/>
  <c r="AK24" i="58" s="1"/>
  <c r="F24" i="58"/>
  <c r="AI23" i="58"/>
  <c r="AJ23" i="58" s="1"/>
  <c r="AH23" i="58"/>
  <c r="AK23" i="58" s="1"/>
  <c r="F23" i="58"/>
  <c r="AI22" i="58"/>
  <c r="AJ22" i="58" s="1"/>
  <c r="AH22" i="58"/>
  <c r="AK22" i="58"/>
  <c r="F22" i="58"/>
  <c r="AI21" i="58"/>
  <c r="AJ21" i="58" s="1"/>
  <c r="AH21" i="58"/>
  <c r="AK21" i="58" s="1"/>
  <c r="F21" i="58"/>
  <c r="AI20" i="58"/>
  <c r="AJ20" i="58" s="1"/>
  <c r="AH20" i="58"/>
  <c r="AK20" i="58"/>
  <c r="F20" i="58"/>
  <c r="AI19" i="58"/>
  <c r="AJ19" i="58" s="1"/>
  <c r="AH19" i="58"/>
  <c r="AK19" i="58" s="1"/>
  <c r="F19" i="58"/>
  <c r="AI18" i="58"/>
  <c r="AJ18" i="58" s="1"/>
  <c r="AL18" i="58" s="1"/>
  <c r="AH18" i="58"/>
  <c r="AK18" i="58"/>
  <c r="F18" i="58"/>
  <c r="AI17" i="58"/>
  <c r="AJ17" i="58" s="1"/>
  <c r="AH17" i="58"/>
  <c r="AK17" i="58" s="1"/>
  <c r="F17" i="58"/>
  <c r="AI16" i="58"/>
  <c r="AJ16" i="58" s="1"/>
  <c r="AH16" i="58"/>
  <c r="AK16" i="58" s="1"/>
  <c r="F16" i="58"/>
  <c r="AI15" i="58"/>
  <c r="AJ15" i="58" s="1"/>
  <c r="AH15" i="58"/>
  <c r="AK15" i="58" s="1"/>
  <c r="F15" i="58"/>
  <c r="AI14" i="58"/>
  <c r="AJ14" i="58" s="1"/>
  <c r="AH14" i="58"/>
  <c r="AK14" i="58"/>
  <c r="F14" i="58"/>
  <c r="AI13" i="58"/>
  <c r="AJ13" i="58" s="1"/>
  <c r="AH13" i="58"/>
  <c r="AK13" i="58" s="1"/>
  <c r="AJ12" i="58"/>
  <c r="AI12" i="58"/>
  <c r="AH12" i="58"/>
  <c r="AK12" i="58" s="1"/>
  <c r="AI11" i="58"/>
  <c r="AJ11" i="58"/>
  <c r="AH11" i="58"/>
  <c r="AK11" i="58" s="1"/>
  <c r="AI10" i="58"/>
  <c r="AJ10" i="58"/>
  <c r="AH10" i="58"/>
  <c r="AK10" i="58" s="1"/>
  <c r="AI9" i="58"/>
  <c r="AJ9" i="58" s="1"/>
  <c r="AH9" i="58"/>
  <c r="AK9" i="58" s="1"/>
  <c r="F9" i="58"/>
  <c r="AI8" i="58"/>
  <c r="AJ8" i="58" s="1"/>
  <c r="AH8" i="58"/>
  <c r="AK8" i="58" s="1"/>
  <c r="F8" i="58"/>
  <c r="AJ7" i="58"/>
  <c r="AI7" i="58"/>
  <c r="AH7" i="58"/>
  <c r="AK7" i="58" s="1"/>
  <c r="F7" i="58"/>
  <c r="AI6" i="58"/>
  <c r="AJ6" i="58" s="1"/>
  <c r="AH6" i="58"/>
  <c r="AK6" i="58" s="1"/>
  <c r="F6" i="58"/>
  <c r="AI5" i="58"/>
  <c r="AJ5" i="58" s="1"/>
  <c r="AL5" i="58" s="1"/>
  <c r="AH5" i="58"/>
  <c r="AK5" i="58" s="1"/>
  <c r="F5" i="58"/>
  <c r="AI4" i="58"/>
  <c r="AJ4" i="58" s="1"/>
  <c r="AH4" i="58"/>
  <c r="AK4" i="58" s="1"/>
  <c r="F4" i="58"/>
  <c r="AI3" i="58"/>
  <c r="AJ3" i="58" s="1"/>
  <c r="AL3" i="58" s="1"/>
  <c r="AH3" i="58"/>
  <c r="AK3" i="58" s="1"/>
  <c r="F3" i="58"/>
  <c r="AI11" i="74" l="1"/>
  <c r="B32" i="74"/>
  <c r="AI9" i="74"/>
  <c r="AI7" i="74"/>
  <c r="AI10" i="74"/>
  <c r="AI8" i="74"/>
  <c r="B34" i="74"/>
  <c r="B31" i="74"/>
  <c r="B33" i="74"/>
  <c r="B35" i="74"/>
  <c r="AA30" i="74"/>
  <c r="AI6" i="74"/>
  <c r="AI12" i="74"/>
  <c r="AI13" i="74"/>
  <c r="AI14" i="74"/>
  <c r="AI15" i="74"/>
  <c r="AI16" i="74"/>
  <c r="AI17" i="74"/>
  <c r="AI18" i="74"/>
  <c r="AI19" i="74"/>
  <c r="AI20" i="74"/>
  <c r="AI21" i="74"/>
  <c r="AI22" i="74"/>
  <c r="AI23" i="74"/>
  <c r="AI24" i="74"/>
  <c r="AI25" i="74"/>
  <c r="AI26" i="74"/>
  <c r="AI27" i="74"/>
  <c r="AI28" i="74"/>
  <c r="AI5" i="74"/>
  <c r="AL4" i="58"/>
  <c r="AL10" i="58"/>
  <c r="AL15" i="58"/>
  <c r="AL16" i="58"/>
  <c r="AL23" i="58"/>
  <c r="AL24" i="58"/>
  <c r="AL14" i="58"/>
  <c r="AL22" i="58"/>
  <c r="AL20" i="58"/>
  <c r="AL6" i="58"/>
  <c r="AL7" i="58"/>
  <c r="AL11" i="58"/>
  <c r="AL12" i="58"/>
  <c r="AL17" i="58"/>
  <c r="AL25" i="58"/>
  <c r="AL13" i="58"/>
  <c r="AL21" i="58"/>
  <c r="AL8" i="58"/>
  <c r="AL9" i="58"/>
  <c r="AL19" i="58"/>
  <c r="D32" i="74" l="1"/>
  <c r="D33" i="74"/>
  <c r="D35" i="74"/>
  <c r="D34" i="74"/>
</calcChain>
</file>

<file path=xl/sharedStrings.xml><?xml version="1.0" encoding="utf-8"?>
<sst xmlns="http://schemas.openxmlformats.org/spreadsheetml/2006/main" count="263" uniqueCount="68">
  <si>
    <t>Enter Username in Cell Below</t>
  </si>
  <si>
    <t>DOW</t>
  </si>
  <si>
    <t>CNT</t>
  </si>
  <si>
    <t>QTIME</t>
  </si>
  <si>
    <t>RTIME</t>
  </si>
  <si>
    <t>T_TIME</t>
  </si>
  <si>
    <r>
      <t xml:space="preserve">Hourly Avg </t>
    </r>
    <r>
      <rPr>
        <b/>
        <sz val="12"/>
        <color theme="1"/>
        <rFont val="Calibri"/>
        <family val="2"/>
        <scheme val="minor"/>
      </rPr>
      <t>Query Volume</t>
    </r>
    <r>
      <rPr>
        <sz val="12"/>
        <color theme="1"/>
        <rFont val="Calibri"/>
        <family val="2"/>
        <scheme val="minor"/>
      </rPr>
      <t xml:space="preserve"> by Day of Week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</si>
  <si>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>Run Time</t>
    </r>
    <r>
      <rPr>
        <sz val="12"/>
        <color theme="1"/>
        <rFont val="Calibri"/>
        <family val="2"/>
        <scheme val="minor"/>
      </rPr>
      <t xml:space="preserve"> by Day of Week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</si>
  <si>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 xml:space="preserve">Queue Time </t>
    </r>
    <r>
      <rPr>
        <sz val="12"/>
        <color theme="1"/>
        <rFont val="Calibri"/>
        <family val="2"/>
        <scheme val="minor"/>
      </rPr>
      <t>by Day of Week</t>
    </r>
  </si>
  <si>
    <t>Ledger:</t>
  </si>
  <si>
    <t>Sunday</t>
  </si>
  <si>
    <t>Monday</t>
  </si>
  <si>
    <t>Tuesday</t>
  </si>
  <si>
    <t>Wednesday</t>
  </si>
  <si>
    <t>Thursday</t>
  </si>
  <si>
    <t>Friday</t>
  </si>
  <si>
    <t>Saturday</t>
  </si>
  <si>
    <t>HR</t>
  </si>
  <si>
    <r>
      <t xml:space="preserve">Hourly Avg </t>
    </r>
    <r>
      <rPr>
        <b/>
        <sz val="12"/>
        <color theme="1"/>
        <rFont val="Calibri"/>
        <family val="2"/>
        <scheme val="minor"/>
      </rPr>
      <t xml:space="preserve">Query Volume </t>
    </r>
    <r>
      <rPr>
        <sz val="12"/>
        <color theme="1"/>
        <rFont val="Calibri"/>
        <family val="2"/>
        <scheme val="minor"/>
      </rPr>
      <t>by Hour of Day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</si>
  <si>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>Run Time</t>
    </r>
    <r>
      <rPr>
        <sz val="12"/>
        <color theme="1"/>
        <rFont val="Calibri"/>
        <family val="2"/>
        <scheme val="minor"/>
      </rPr>
      <t xml:space="preserve"> by Hour of Day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</si>
  <si>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 xml:space="preserve">Queue Time </t>
    </r>
    <r>
      <rPr>
        <sz val="12"/>
        <color theme="1"/>
        <rFont val="Calibri"/>
        <family val="2"/>
        <scheme val="minor"/>
      </rPr>
      <t>by Hour of Day</t>
    </r>
  </si>
  <si>
    <t>MONTH_YEAR</t>
  </si>
  <si>
    <r>
      <t xml:space="preserve">Hourly Avg </t>
    </r>
    <r>
      <rPr>
        <b/>
        <sz val="12"/>
        <color theme="1"/>
        <rFont val="Calibri"/>
        <family val="2"/>
        <scheme val="minor"/>
      </rPr>
      <t>Query Volume</t>
    </r>
    <r>
      <rPr>
        <sz val="12"/>
        <color theme="1"/>
        <rFont val="Calibri"/>
        <family val="2"/>
        <scheme val="minor"/>
      </rPr>
      <t xml:space="preserve"> by Month of Year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</si>
  <si>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>Run Time</t>
    </r>
    <r>
      <rPr>
        <sz val="12"/>
        <color theme="1"/>
        <rFont val="Calibri"/>
        <family val="2"/>
        <scheme val="minor"/>
      </rPr>
      <t xml:space="preserve"> by Month of Year</t>
    </r>
  </si>
  <si>
    <r>
      <t xml:space="preserve">Hourly Avg </t>
    </r>
    <r>
      <rPr>
        <b/>
        <sz val="12"/>
        <color theme="1"/>
        <rFont val="Calibri"/>
        <family val="2"/>
        <scheme val="minor"/>
      </rPr>
      <t>Queue Time</t>
    </r>
    <r>
      <rPr>
        <sz val="12"/>
        <color theme="1"/>
        <rFont val="Calibri"/>
        <family val="2"/>
        <scheme val="minor"/>
      </rPr>
      <t xml:space="preserve"> by Month of Year</t>
    </r>
  </si>
  <si>
    <r>
      <t>ALL DAYS  -</t>
    </r>
    <r>
      <rPr>
        <b/>
        <sz val="12"/>
        <color rgb="FFC00000"/>
        <rFont val="Calibri (Body)"/>
      </rPr>
      <t xml:space="preserve"> INSERT TOP VOLUME USERNAME(s) IN LINE 3</t>
    </r>
  </si>
  <si>
    <t>STEP 2</t>
  </si>
  <si>
    <t>STEP 1</t>
  </si>
  <si>
    <t>COMFORTABLE</t>
  </si>
  <si>
    <t>Blended Hourly Temperature</t>
  </si>
  <si>
    <t>Input each top user average by hour of day in the yellow below, then copy the AX5 to AX28 and paste values into B5 to begin the heatgraph</t>
  </si>
  <si>
    <t>TOLLERABLE</t>
  </si>
  <si>
    <t>Hour</t>
  </si>
  <si>
    <t>Ave By Hour</t>
  </si>
  <si>
    <t>Q_AVE</t>
  </si>
  <si>
    <t>R_AVE</t>
  </si>
  <si>
    <t>Q_MEASURE</t>
  </si>
  <si>
    <t>C_MEASURE</t>
  </si>
  <si>
    <t>C_INDEX</t>
  </si>
  <si>
    <t>Q_INDEX</t>
  </si>
  <si>
    <t>C+Q</t>
  </si>
  <si>
    <t>HEAT</t>
  </si>
  <si>
    <t>WARM</t>
  </si>
  <si>
    <t>HOT</t>
  </si>
  <si>
    <t>Total Count</t>
  </si>
  <si>
    <t xml:space="preserve">Blended Hourly Temperature Score </t>
  </si>
  <si>
    <t>Total Hot</t>
  </si>
  <si>
    <t>Total Warm</t>
  </si>
  <si>
    <t>Total Tollerable</t>
  </si>
  <si>
    <t>Total Comfortable</t>
  </si>
  <si>
    <t xml:space="preserve">*Take the number of Top User's (ie. 7) multiplied by the max score (3x7) devided by 3 </t>
  </si>
  <si>
    <t xml:space="preserve"> APP_RXINSIGHT_PRD</t>
  </si>
  <si>
    <t>WATER_TEMP</t>
  </si>
  <si>
    <t>5 2018</t>
  </si>
  <si>
    <t>6 2018</t>
  </si>
  <si>
    <t>7 2018</t>
  </si>
  <si>
    <t>8 2018</t>
  </si>
  <si>
    <t>9 2018</t>
  </si>
  <si>
    <t>10 2018</t>
  </si>
  <si>
    <t>11 2018</t>
  </si>
  <si>
    <t>12 2018</t>
  </si>
  <si>
    <t>1 2019</t>
  </si>
  <si>
    <t>2 2019</t>
  </si>
  <si>
    <t>3 2019</t>
  </si>
  <si>
    <t>4 2019</t>
  </si>
  <si>
    <t>5 2019</t>
  </si>
  <si>
    <t>6 2019</t>
  </si>
  <si>
    <t>7 2019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</si>
</sst>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_(* #,##0.0_);_(* \(#,##0.0\);_(* &quot;-&quot;??_);_(@_)"/>
  </numFmts>
  <fonts count="2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.AppleSystemUIFont"/>
    </font>
    <font>
      <b/>
      <sz val="12"/>
      <color theme="1"/>
      <name val=".AppleSystemUIFont"/>
    </font>
    <font>
      <sz val="12"/>
      <color theme="1"/>
      <name val="Helvetica"/>
      <family val="2"/>
    </font>
    <font>
      <sz val="12"/>
      <color theme="0"/>
      <name val="Calibri"/>
      <family val="2"/>
      <scheme val="minor"/>
    </font>
    <font>
      <b/>
      <sz val="12"/>
      <color rgb="FF000000"/>
      <name val=".AppleSystemUIFont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u/>
      <sz val="1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 (Body)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3"/>
      <color rgb="FF000000"/>
      <name val="Lucida Grande"/>
      <family val="2"/>
    </font>
    <font>
      <sz val="22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1EDD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4" fillId="0" borderId="0" xfId="0" applyFont="1"/>
    <xf numFmtId="0" fontId="3" fillId="0" borderId="0" xfId="0" applyFont="1"/>
    <xf numFmtId="0" fontId="5" fillId="0" borderId="0" xfId="0" applyFont="1"/>
    <xf numFmtId="0" fontId="4" fillId="0" borderId="1" xfId="0" applyFont="1" applyBorder="1"/>
    <xf numFmtId="43" fontId="0" fillId="0" borderId="0" xfId="0" applyNumberFormat="1"/>
    <xf numFmtId="0" fontId="3" fillId="4" borderId="7" xfId="0" applyFont="1" applyFill="1" applyBorder="1"/>
    <xf numFmtId="166" fontId="3" fillId="4" borderId="12" xfId="1" applyNumberFormat="1" applyFont="1" applyFill="1" applyBorder="1"/>
    <xf numFmtId="0" fontId="3" fillId="4" borderId="12" xfId="0" applyFont="1" applyFill="1" applyBorder="1"/>
    <xf numFmtId="0" fontId="3" fillId="4" borderId="13" xfId="0" applyFont="1" applyFill="1" applyBorder="1"/>
    <xf numFmtId="164" fontId="3" fillId="0" borderId="0" xfId="1" applyNumberFormat="1" applyFont="1" applyBorder="1"/>
    <xf numFmtId="166" fontId="3" fillId="0" borderId="2" xfId="1" applyNumberFormat="1" applyFont="1" applyBorder="1"/>
    <xf numFmtId="0" fontId="4" fillId="3" borderId="8" xfId="0" applyFont="1" applyFill="1" applyBorder="1"/>
    <xf numFmtId="164" fontId="3" fillId="3" borderId="14" xfId="1" applyNumberFormat="1" applyFont="1" applyFill="1" applyBorder="1"/>
    <xf numFmtId="166" fontId="3" fillId="3" borderId="14" xfId="1" applyNumberFormat="1" applyFont="1" applyFill="1" applyBorder="1"/>
    <xf numFmtId="0" fontId="4" fillId="3" borderId="14" xfId="0" applyFont="1" applyFill="1" applyBorder="1"/>
    <xf numFmtId="0" fontId="4" fillId="3" borderId="3" xfId="0" applyFont="1" applyFill="1" applyBorder="1"/>
    <xf numFmtId="166" fontId="3" fillId="0" borderId="0" xfId="1" applyNumberFormat="1" applyFont="1" applyBorder="1"/>
    <xf numFmtId="166" fontId="3" fillId="3" borderId="3" xfId="1" applyNumberFormat="1" applyFont="1" applyFill="1" applyBorder="1"/>
    <xf numFmtId="166" fontId="0" fillId="0" borderId="2" xfId="1" applyNumberFormat="1" applyFont="1" applyBorder="1"/>
    <xf numFmtId="3" fontId="3" fillId="0" borderId="0" xfId="0" applyNumberFormat="1" applyFont="1"/>
    <xf numFmtId="0" fontId="0" fillId="6" borderId="0" xfId="0" applyFill="1"/>
    <xf numFmtId="0" fontId="0" fillId="6" borderId="7" xfId="0" applyFill="1" applyBorder="1"/>
    <xf numFmtId="0" fontId="5" fillId="6" borderId="12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0" fillId="6" borderId="8" xfId="0" applyFill="1" applyBorder="1"/>
    <xf numFmtId="0" fontId="5" fillId="6" borderId="14" xfId="0" applyFont="1" applyFill="1" applyBorder="1"/>
    <xf numFmtId="0" fontId="3" fillId="6" borderId="14" xfId="0" applyFont="1" applyFill="1" applyBorder="1"/>
    <xf numFmtId="0" fontId="3" fillId="6" borderId="3" xfId="0" applyFont="1" applyFill="1" applyBorder="1"/>
    <xf numFmtId="0" fontId="0" fillId="4" borderId="7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 vertical="center" wrapText="1"/>
    </xf>
    <xf numFmtId="165" fontId="0" fillId="4" borderId="7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 vertical="center" wrapText="1"/>
    </xf>
    <xf numFmtId="165" fontId="0" fillId="4" borderId="4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vertical="center" wrapText="1"/>
    </xf>
    <xf numFmtId="165" fontId="0" fillId="4" borderId="5" xfId="0" applyNumberFormat="1" applyFill="1" applyBorder="1" applyAlignment="1">
      <alignment horizontal="center" vertical="center" wrapText="1"/>
    </xf>
    <xf numFmtId="9" fontId="0" fillId="5" borderId="7" xfId="2" applyFont="1" applyFill="1" applyBorder="1"/>
    <xf numFmtId="9" fontId="0" fillId="5" borderId="13" xfId="2" applyFont="1" applyFill="1" applyBorder="1"/>
    <xf numFmtId="9" fontId="0" fillId="5" borderId="1" xfId="2" applyFont="1" applyFill="1" applyBorder="1"/>
    <xf numFmtId="9" fontId="0" fillId="5" borderId="2" xfId="2" applyFont="1" applyFill="1" applyBorder="1"/>
    <xf numFmtId="9" fontId="0" fillId="5" borderId="8" xfId="2" applyFont="1" applyFill="1" applyBorder="1"/>
    <xf numFmtId="9" fontId="0" fillId="5" borderId="3" xfId="2" applyFont="1" applyFill="1" applyBorder="1"/>
    <xf numFmtId="0" fontId="0" fillId="6" borderId="13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6" fillId="7" borderId="6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6" fontId="3" fillId="0" borderId="0" xfId="1" applyNumberFormat="1" applyFont="1"/>
    <xf numFmtId="1" fontId="3" fillId="0" borderId="0" xfId="0" applyNumberFormat="1" applyFont="1"/>
    <xf numFmtId="0" fontId="2" fillId="0" borderId="0" xfId="0" applyFont="1"/>
    <xf numFmtId="166" fontId="3" fillId="0" borderId="14" xfId="1" applyNumberFormat="1" applyFont="1" applyBorder="1"/>
    <xf numFmtId="165" fontId="3" fillId="0" borderId="0" xfId="0" applyNumberFormat="1" applyFont="1"/>
    <xf numFmtId="164" fontId="3" fillId="0" borderId="14" xfId="1" applyNumberFormat="1" applyFont="1" applyBorder="1"/>
    <xf numFmtId="166" fontId="0" fillId="0" borderId="3" xfId="1" applyNumberFormat="1" applyFont="1" applyBorder="1"/>
    <xf numFmtId="0" fontId="0" fillId="0" borderId="0" xfId="0" applyAlignment="1">
      <alignment horizontal="center"/>
    </xf>
    <xf numFmtId="0" fontId="3" fillId="8" borderId="7" xfId="0" applyFont="1" applyFill="1" applyBorder="1" applyAlignment="1">
      <alignment horizontal="center"/>
    </xf>
    <xf numFmtId="166" fontId="3" fillId="8" borderId="12" xfId="1" applyNumberFormat="1" applyFont="1" applyFill="1" applyBorder="1"/>
    <xf numFmtId="0" fontId="3" fillId="8" borderId="12" xfId="0" applyFont="1" applyFill="1" applyBorder="1"/>
    <xf numFmtId="0" fontId="3" fillId="8" borderId="13" xfId="0" applyFont="1" applyFill="1" applyBorder="1"/>
    <xf numFmtId="0" fontId="4" fillId="0" borderId="1" xfId="0" applyFont="1" applyBorder="1" applyAlignment="1">
      <alignment horizontal="center"/>
    </xf>
    <xf numFmtId="164" fontId="3" fillId="0" borderId="0" xfId="1" applyNumberFormat="1" applyFont="1"/>
    <xf numFmtId="0" fontId="4" fillId="9" borderId="8" xfId="0" applyFont="1" applyFill="1" applyBorder="1" applyAlignment="1">
      <alignment horizontal="center"/>
    </xf>
    <xf numFmtId="164" fontId="3" fillId="9" borderId="14" xfId="1" applyNumberFormat="1" applyFont="1" applyFill="1" applyBorder="1"/>
    <xf numFmtId="166" fontId="3" fillId="9" borderId="14" xfId="1" applyNumberFormat="1" applyFont="1" applyFill="1" applyBorder="1"/>
    <xf numFmtId="0" fontId="4" fillId="9" borderId="14" xfId="0" applyFont="1" applyFill="1" applyBorder="1"/>
    <xf numFmtId="0" fontId="4" fillId="9" borderId="3" xfId="0" applyFont="1" applyFill="1" applyBorder="1"/>
    <xf numFmtId="0" fontId="3" fillId="10" borderId="7" xfId="0" applyFont="1" applyFill="1" applyBorder="1" applyAlignment="1">
      <alignment horizontal="center"/>
    </xf>
    <xf numFmtId="0" fontId="3" fillId="10" borderId="12" xfId="0" applyFont="1" applyFill="1" applyBorder="1"/>
    <xf numFmtId="166" fontId="3" fillId="10" borderId="12" xfId="1" applyNumberFormat="1" applyFont="1" applyFill="1" applyBorder="1"/>
    <xf numFmtId="0" fontId="3" fillId="10" borderId="13" xfId="0" applyFont="1" applyFill="1" applyBorder="1"/>
    <xf numFmtId="17" fontId="4" fillId="0" borderId="1" xfId="0" applyNumberFormat="1" applyFont="1" applyBorder="1" applyAlignment="1">
      <alignment horizontal="center"/>
    </xf>
    <xf numFmtId="0" fontId="4" fillId="6" borderId="12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43" fontId="3" fillId="9" borderId="14" xfId="1" applyFont="1" applyFill="1" applyBorder="1"/>
    <xf numFmtId="0" fontId="0" fillId="6" borderId="0" xfId="0" applyFill="1" applyAlignment="1">
      <alignment horizontal="center"/>
    </xf>
    <xf numFmtId="0" fontId="4" fillId="11" borderId="8" xfId="0" applyFont="1" applyFill="1" applyBorder="1" applyAlignment="1">
      <alignment horizontal="center"/>
    </xf>
    <xf numFmtId="164" fontId="3" fillId="11" borderId="14" xfId="1" applyNumberFormat="1" applyFont="1" applyFill="1" applyBorder="1"/>
    <xf numFmtId="166" fontId="3" fillId="11" borderId="14" xfId="1" applyNumberFormat="1" applyFont="1" applyFill="1" applyBorder="1"/>
    <xf numFmtId="0" fontId="4" fillId="11" borderId="14" xfId="0" applyFont="1" applyFill="1" applyBorder="1"/>
    <xf numFmtId="0" fontId="4" fillId="11" borderId="3" xfId="0" applyFont="1" applyFill="1" applyBorder="1"/>
    <xf numFmtId="166" fontId="3" fillId="11" borderId="3" xfId="1" applyNumberFormat="1" applyFont="1" applyFill="1" applyBorder="1"/>
    <xf numFmtId="43" fontId="3" fillId="11" borderId="14" xfId="1" applyFont="1" applyFill="1" applyBorder="1"/>
    <xf numFmtId="0" fontId="4" fillId="0" borderId="0" xfId="0" applyFont="1" applyAlignment="1">
      <alignment horizontal="center"/>
    </xf>
    <xf numFmtId="17" fontId="7" fillId="0" borderId="1" xfId="0" applyNumberFormat="1" applyFont="1" applyBorder="1" applyAlignment="1">
      <alignment horizontal="center"/>
    </xf>
    <xf numFmtId="17" fontId="7" fillId="0" borderId="8" xfId="0" applyNumberFormat="1" applyFont="1" applyBorder="1" applyAlignment="1">
      <alignment horizontal="center"/>
    </xf>
    <xf numFmtId="9" fontId="0" fillId="0" borderId="0" xfId="2" applyFont="1"/>
    <xf numFmtId="0" fontId="2" fillId="8" borderId="0" xfId="0" applyFont="1" applyFill="1"/>
    <xf numFmtId="0" fontId="0" fillId="8" borderId="0" xfId="0" applyFill="1"/>
    <xf numFmtId="0" fontId="10" fillId="0" borderId="0" xfId="0" applyFont="1" applyAlignment="1">
      <alignment horizontal="center"/>
    </xf>
    <xf numFmtId="0" fontId="9" fillId="0" borderId="0" xfId="0" applyFont="1"/>
    <xf numFmtId="0" fontId="8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2" fillId="0" borderId="0" xfId="0" applyFont="1" applyAlignment="1">
      <alignment horizontal="center"/>
    </xf>
    <xf numFmtId="9" fontId="0" fillId="0" borderId="0" xfId="2" applyFont="1" applyAlignment="1">
      <alignment horizontal="center"/>
    </xf>
    <xf numFmtId="9" fontId="2" fillId="0" borderId="0" xfId="2" applyFont="1"/>
    <xf numFmtId="0" fontId="1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2" applyNumberFormat="1" applyFont="1" applyAlignment="1">
      <alignment horizontal="center"/>
    </xf>
    <xf numFmtId="49" fontId="0" fillId="0" borderId="0" xfId="0" applyNumberFormat="1"/>
    <xf numFmtId="16" fontId="0" fillId="0" borderId="0" xfId="0" applyNumberFormat="1"/>
    <xf numFmtId="0" fontId="15" fillId="0" borderId="0" xfId="0" applyFont="1" applyAlignment="1">
      <alignment horizontal="center"/>
    </xf>
    <xf numFmtId="9" fontId="0" fillId="0" borderId="0" xfId="2" applyFont="1" applyFill="1"/>
    <xf numFmtId="9" fontId="0" fillId="0" borderId="0" xfId="0" applyNumberFormat="1"/>
    <xf numFmtId="0" fontId="16" fillId="0" borderId="0" xfId="0" applyFont="1" applyAlignment="1">
      <alignment horizontal="center"/>
    </xf>
    <xf numFmtId="0" fontId="9" fillId="12" borderId="0" xfId="0" applyFont="1" applyFill="1"/>
    <xf numFmtId="0" fontId="8" fillId="12" borderId="0" xfId="0" applyFont="1" applyFill="1"/>
    <xf numFmtId="0" fontId="4" fillId="6" borderId="0" xfId="0" applyFont="1" applyFill="1" applyAlignment="1">
      <alignment horizontal="center"/>
    </xf>
    <xf numFmtId="0" fontId="5" fillId="6" borderId="0" xfId="0" applyFont="1" applyFill="1"/>
    <xf numFmtId="0" fontId="3" fillId="6" borderId="0" xfId="0" applyFont="1" applyFill="1"/>
    <xf numFmtId="0" fontId="3" fillId="0" borderId="2" xfId="0" applyFont="1" applyBorder="1"/>
    <xf numFmtId="0" fontId="19" fillId="0" borderId="0" xfId="0" applyFont="1"/>
    <xf numFmtId="0" fontId="20" fillId="0" borderId="0" xfId="0" applyFont="1"/>
    <xf numFmtId="165" fontId="0" fillId="14" borderId="0" xfId="0" applyNumberFormat="1" applyFill="1"/>
    <xf numFmtId="0" fontId="2" fillId="13" borderId="0" xfId="0" applyFont="1" applyFill="1"/>
    <xf numFmtId="0" fontId="4" fillId="9" borderId="0" xfId="0" applyFont="1" applyFill="1" applyAlignment="1">
      <alignment horizontal="center"/>
    </xf>
    <xf numFmtId="164" fontId="3" fillId="9" borderId="0" xfId="1" applyNumberFormat="1" applyFont="1" applyFill="1" applyBorder="1"/>
    <xf numFmtId="166" fontId="3" fillId="9" borderId="0" xfId="1" applyNumberFormat="1" applyFont="1" applyFill="1" applyBorder="1"/>
    <xf numFmtId="0" fontId="4" fillId="9" borderId="0" xfId="0" applyFont="1" applyFill="1"/>
    <xf numFmtId="0" fontId="4" fillId="9" borderId="2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31ED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ADMIN</c:v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COMBINED_USERS!$C$3:$C$9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CC9-784F-83C2-772C9AE6C59D}"/>
            </c:ext>
          </c:extLst>
        </c:ser>
        <c:ser>
          <c:idx val="0"/>
          <c:order val="1"/>
          <c:tx>
            <c:v>INFALOADER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COMBINED_USERS!$C$62:$C$68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C9-784F-83C2-772C9AE6C59D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COMBINED_USERS!$C$121:$C$127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C9-784F-83C2-772C9AE6C59D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COMBINED_USERS!$C$180:$C$186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C9-784F-83C2-772C9AE6C59D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COMBINED_USERS!$C$239:$C$245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CC9-784F-83C2-772C9AE6C59D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COMBINED_USERS!$C$298:$C$304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CC9-784F-83C2-772C9AE6C59D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COMBINED_USERS!$C$357:$C$363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8CC9-784F-83C2-772C9AE6C59D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COMBINED_USERS!$B$416:$B$422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COMBINED_USERS!$C$416:$C$422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C3F-5A47-82FA-D81DA62D0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strRef>
              <c:f>COMBINED_USERS!$A$2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COMBINED_USERS!$C$14:$C$37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F9C-2940-A192-307F4DD2453B}"/>
            </c:ext>
          </c:extLst>
        </c:ser>
        <c:ser>
          <c:idx val="0"/>
          <c:order val="1"/>
          <c:tx>
            <c:strRef>
              <c:f>COMBINED_USERS!$A$72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COMBINED_USERS!$C$73:$C$96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9C-2940-A192-307F4DD2453B}"/>
            </c:ext>
          </c:extLst>
        </c:ser>
        <c:ser>
          <c:idx val="2"/>
          <c:order val="2"/>
          <c:tx>
            <c:strRef>
              <c:f>COMBINED_USERS!$A$131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COMBINED_USERS!$C$132:$C$155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F9C-2940-A192-307F4DD2453B}"/>
            </c:ext>
          </c:extLst>
        </c:ser>
        <c:ser>
          <c:idx val="3"/>
          <c:order val="3"/>
          <c:tx>
            <c:strRef>
              <c:f>COMBINED_USERS!$A$190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COMBINED_USERS!$C$191:$C$214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F9C-2940-A192-307F4DD2453B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COMBINED_USERS!$C$250:$C$273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F9C-2940-A192-307F4DD2453B}"/>
            </c:ext>
          </c:extLst>
        </c:ser>
        <c:ser>
          <c:idx val="5"/>
          <c:order val="5"/>
          <c:tx>
            <c:strRef>
              <c:f>COMBINED_USERS!$A$308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COMBINED_USERS!$C$309:$C$332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F9C-2940-A192-307F4DD2453B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COMBINED_USERS!$C$368:$C$391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F9C-2940-A192-307F4DD2453B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COMBINED_USERS!$C$427:$C$450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741-2142-B0B7-70230D35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strRef>
              <c:f>COMBINED_USERS!$A$2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COMBINED_USERS!$C$41:$C$56</c:f>
              <c:numCache>
                <c:formatCode>#,##0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B2C-3C4E-9AC4-BBB130D1BF6E}"/>
            </c:ext>
          </c:extLst>
        </c:ser>
        <c:ser>
          <c:idx val="0"/>
          <c:order val="1"/>
          <c:tx>
            <c:strRef>
              <c:f>COMBINED_USERS!$A$61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COMBINED_USERS!$C$100:$C$115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B2C-3C4E-9AC4-BBB130D1BF6E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COMBINED_USERS!$C$159:$C$174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B2C-3C4E-9AC4-BBB130D1BF6E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COMBINED_USERS!$C$218:$C$233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2C-3C4E-9AC4-BBB130D1BF6E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COMBINED_USERS!$C$277:$C$292</c:f>
              <c:numCache>
                <c:formatCode>General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B2C-3C4E-9AC4-BBB130D1BF6E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COMBINED_USERS!$C$336:$C$351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2C-3C4E-9AC4-BBB130D1BF6E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COMBINED_USERS!$C$395:$C$410</c:f>
              <c:numCache>
                <c:formatCode>#,##0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B2C-3C4E-9AC4-BBB130D1BF6E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COMBINED_USERS!$B$41:$B$55</c:f>
              <c:numCache>
                <c:formatCode>mmm\-yy</c:formatCode>
                <c:ptCount val="15"/>
              </c:numCache>
            </c:numRef>
          </c:cat>
          <c:val>
            <c:numRef>
              <c:f>COMBINED_USERS!$C$454:$C$469</c:f>
              <c:numCache>
                <c:formatCode>#,##0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2B2C-3C4E-9AC4-BBB130D1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8"/>
          <c:order val="0"/>
          <c:tx>
            <c:strRef>
              <c:f>COMBINED_USERS!$A$13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mpd="dbl">
              <a:solidFill>
                <a:srgbClr val="4472C4"/>
              </a:solidFill>
            </a:ln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COMBINED_USERS!$D$14:$D$37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DA4-3243-8CA5-520E1EA3C261}"/>
            </c:ext>
          </c:extLst>
        </c:ser>
        <c:ser>
          <c:idx val="9"/>
          <c:order val="1"/>
          <c:tx>
            <c:strRef>
              <c:f>COMBINED_USERS!$A$72</c:f>
              <c:strCache>
                <c:ptCount val="1"/>
              </c:strCache>
            </c:strRef>
          </c:tx>
          <c:spPr>
            <a:ln w="38100" cmpd="dbl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COMBINED_USERS!$D$73:$D$96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DA4-3243-8CA5-520E1EA3C261}"/>
            </c:ext>
          </c:extLst>
        </c:ser>
        <c:ser>
          <c:idx val="10"/>
          <c:order val="2"/>
          <c:tx>
            <c:strRef>
              <c:f>COMBINED_USERS!$A$131</c:f>
              <c:strCache>
                <c:ptCount val="1"/>
              </c:strCache>
            </c:strRef>
          </c:tx>
          <c:spPr>
            <a:ln w="38100" cmpd="dbl"/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COMBINED_USERS!$D$132:$D$155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DA4-3243-8CA5-520E1EA3C261}"/>
            </c:ext>
          </c:extLst>
        </c:ser>
        <c:ser>
          <c:idx val="3"/>
          <c:order val="3"/>
          <c:tx>
            <c:strRef>
              <c:f>COMBINED_USERS!$A$190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COMBINED_USERS!$D$191:$D$214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DA4-3243-8CA5-520E1EA3C261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COMBINED_USERS!$D$250:$D$273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DA4-3243-8CA5-520E1EA3C261}"/>
            </c:ext>
          </c:extLst>
        </c:ser>
        <c:ser>
          <c:idx val="5"/>
          <c:order val="5"/>
          <c:tx>
            <c:strRef>
              <c:f>COMBINED_USERS!$A$308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COMBINED_USERS!$D$309:$D$332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DA4-3243-8CA5-520E1EA3C261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COMBINED_USERS!$D$368:$D$391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DA4-3243-8CA5-520E1EA3C261}"/>
            </c:ext>
          </c:extLst>
        </c:ser>
        <c:ser>
          <c:idx val="0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mpd="dbl">
              <a:solidFill>
                <a:srgbClr val="70AD47"/>
              </a:solidFill>
            </a:ln>
          </c:spPr>
          <c:marker>
            <c:symbol val="none"/>
          </c:marker>
          <c:cat>
            <c:numRef>
              <c:f>COMBINED_USERS!$B$14:$B$37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COMBINED_USERS!$D$427:$D$450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2E1-C641-8BF8-6D84A0CAD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ADMIN</c:v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COMBINED_USERS!$E$3:$E$9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72F-834B-B0F6-4C229045AC21}"/>
            </c:ext>
          </c:extLst>
        </c:ser>
        <c:ser>
          <c:idx val="0"/>
          <c:order val="1"/>
          <c:tx>
            <c:v>INFALOADER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COMBINED_USERS!$E$62:$E$68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F-834B-B0F6-4C229045AC21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COMBINED_USERS!$E$121:$E$127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72F-834B-B0F6-4C229045AC21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COMBINED_USERS!$E$180:$E$186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72F-834B-B0F6-4C229045AC21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COMBINED_USERS!$E$239:$E$245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2F-834B-B0F6-4C229045AC21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COMBINED_USERS!$E$298:$E$304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72F-834B-B0F6-4C229045AC21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COMBINED_USERS!$E$357:$E$363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72F-834B-B0F6-4C229045AC21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COMBINED_USERS!$E$416:$E$422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72F-834B-B0F6-4C229045A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ADMIN</c:v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COMBINED_USERS!$D$3:$D$9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7C2-884F-BBE1-9B9489E3C2FB}"/>
            </c:ext>
          </c:extLst>
        </c:ser>
        <c:ser>
          <c:idx val="0"/>
          <c:order val="1"/>
          <c:tx>
            <c:v>INFALOADER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COMBINED_USERS!$D$62:$D$68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7C2-884F-BBE1-9B9489E3C2FB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COMBINED_USERS!$D$121:$D$127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7C2-884F-BBE1-9B9489E3C2FB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COMBINED_USERS!$D$180:$D$186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C2-884F-BBE1-9B9489E3C2FB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  <c:extLst xmlns:c15="http://schemas.microsoft.com/office/drawing/2012/chart"/>
            </c:strRef>
          </c:cat>
          <c:val>
            <c:numRef>
              <c:f>COMBINED_USERS!$D$239:$D$245</c:f>
              <c:numCache>
                <c:formatCode>General</c:formatCode>
                <c:ptCount val="7"/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C2-884F-BBE1-9B9489E3C2FB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COMBINED_USERS!$D$298:$D$304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7C2-884F-BBE1-9B9489E3C2FB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COMBINED_USERS!$D$357:$D$363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B7C2-884F-BBE1-9B9489E3C2FB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COMBINED_USERS!$B$3:$B$9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COMBINED_USERS!$D$416:$D$422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B7C2-884F-BBE1-9B9489E3C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strRef>
              <c:f>COMBINED_USERS!$A$2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COMBINED_USERS!$E$14:$E$37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47-334A-AA51-53F99FD7D313}"/>
            </c:ext>
          </c:extLst>
        </c:ser>
        <c:ser>
          <c:idx val="0"/>
          <c:order val="1"/>
          <c:tx>
            <c:strRef>
              <c:f>COMBINED_USERS!$A$72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COMBINED_USERS!$E$73:$E$96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647-334A-AA51-53F99FD7D313}"/>
            </c:ext>
          </c:extLst>
        </c:ser>
        <c:ser>
          <c:idx val="2"/>
          <c:order val="2"/>
          <c:tx>
            <c:strRef>
              <c:f>COMBINED_USERS!$A$131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COMBINED_USERS!$E$132:$E$155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647-334A-AA51-53F99FD7D313}"/>
            </c:ext>
          </c:extLst>
        </c:ser>
        <c:ser>
          <c:idx val="3"/>
          <c:order val="3"/>
          <c:tx>
            <c:strRef>
              <c:f>COMBINED_USERS!$A$190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COMBINED_USERS!$E$191:$E$214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647-334A-AA51-53F99FD7D313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  <c:extLst xmlns:c15="http://schemas.microsoft.com/office/drawing/2012/chart"/>
            </c:numRef>
          </c:cat>
          <c:val>
            <c:numRef>
              <c:f>COMBINED_USERS!$E$250:$E$273</c:f>
              <c:numCache>
                <c:formatCode>General</c:formatCode>
                <c:ptCount val="24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47-334A-AA51-53F99FD7D313}"/>
            </c:ext>
          </c:extLst>
        </c:ser>
        <c:ser>
          <c:idx val="5"/>
          <c:order val="5"/>
          <c:tx>
            <c:strRef>
              <c:f>COMBINED_USERS!$A$308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COMBINED_USERS!$E$309:$E$332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647-334A-AA51-53F99FD7D313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COMBINED_USERS!$E$368:$E$391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647-334A-AA51-53F99FD7D313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COMBINED_USERS!$B$427:$B$450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COMBINED_USERS!$E$427:$E$450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C647-334A-AA51-53F99FD7D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strRef>
              <c:f>COMBINED_USERS!$A$2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COMBINED_USERS!$E$41:$E$56</c:f>
              <c:numCache>
                <c:formatCode>_(* #,##0.0_);_(* \(#,##0.0\);_(* "-"??_);_(@_)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FC8-454D-871F-53E9E0355880}"/>
            </c:ext>
          </c:extLst>
        </c:ser>
        <c:ser>
          <c:idx val="0"/>
          <c:order val="1"/>
          <c:tx>
            <c:strRef>
              <c:f>COMBINED_USERS!$A$61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COMBINED_USERS!$E$100:$E$115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C8-454D-871F-53E9E0355880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COMBINED_USERS!$E$159:$E$174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C8-454D-871F-53E9E0355880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COMBINED_USERS!$E$218:$E$233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C8-454D-871F-53E9E0355880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COMBINED_USERS!$E$277:$E$292</c:f>
              <c:numCache>
                <c:formatCode>General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FC8-454D-871F-53E9E0355880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COMBINED_USERS!$E$336:$E$351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C8-454D-871F-53E9E0355880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COMBINED_USERS!$E$395:$E$410</c:f>
              <c:numCache>
                <c:formatCode>_(* #,##0.0_);_(* \(#,##0.0\);_(* "-"??_);_(@_)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1FC8-454D-871F-53E9E0355880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COMBINED_USERS!$E$454:$E$466</c:f>
              <c:numCache>
                <c:formatCode>_(* #,##0.0_);_(* \(#,##0.0\);_(*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3DB-E242-95E4-962C82BCF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strRef>
              <c:f>COMBINED_USERS!$A$2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4472C4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COMBINED_USERS!$D$41:$D$56</c:f>
              <c:numCache>
                <c:formatCode>_(* #,##0.0_);_(* \(#,##0.0\);_(* "-"??_);_(@_)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9B4-EA4F-ACB2-C3ADC3809916}"/>
            </c:ext>
          </c:extLst>
        </c:ser>
        <c:ser>
          <c:idx val="0"/>
          <c:order val="1"/>
          <c:tx>
            <c:strRef>
              <c:f>COMBINED_USERS!$A$61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COMBINED_USERS!$D$100:$D$115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B4-EA4F-ACB2-C3ADC3809916}"/>
            </c:ext>
          </c:extLst>
        </c:ser>
        <c:ser>
          <c:idx val="2"/>
          <c:order val="2"/>
          <c:tx>
            <c:strRef>
              <c:f>COMBINED_USERS!$A$120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5B9BD5">
                  <a:lumMod val="60000"/>
                  <a:lumOff val="40000"/>
                </a:srgb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COMBINED_USERS!$D$159:$D$174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B4-EA4F-ACB2-C3ADC3809916}"/>
            </c:ext>
          </c:extLst>
        </c:ser>
        <c:ser>
          <c:idx val="3"/>
          <c:order val="3"/>
          <c:tx>
            <c:strRef>
              <c:f>COMBINED_USERS!$A$179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C00000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COMBINED_USERS!$D$218:$D$233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9B4-EA4F-ACB2-C3ADC3809916}"/>
            </c:ext>
          </c:extLst>
        </c:ser>
        <c:ser>
          <c:idx val="4"/>
          <c:order val="4"/>
          <c:tx>
            <c:strRef>
              <c:f>COMBINED_USERS!$A$238</c:f>
              <c:strCache>
                <c:ptCount val="1"/>
              </c:strCache>
              <c:extLst xmlns:c15="http://schemas.microsoft.com/office/drawing/2012/chart"/>
            </c:strRef>
          </c:tx>
          <c:spPr>
            <a:ln w="38100" cap="flat" cmpd="dbl" algn="ctr">
              <a:solidFill>
                <a:srgbClr val="ED7D31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COMBINED_USERS!$D$277:$D$292</c:f>
              <c:numCache>
                <c:formatCode>General</c:formatCode>
                <c:ptCount val="16"/>
              </c:numCache>
              <c:extLst xmlns:c15="http://schemas.microsoft.com/office/drawing/2012/chart"/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B9B4-EA4F-ACB2-C3ADC3809916}"/>
            </c:ext>
          </c:extLst>
        </c:ser>
        <c:ser>
          <c:idx val="5"/>
          <c:order val="5"/>
          <c:tx>
            <c:strRef>
              <c:f>COMBINED_USERS!$A$297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A5A5A5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COMBINED_USERS!$D$336:$D$351</c:f>
              <c:numCache>
                <c:formatCode>General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9B4-EA4F-ACB2-C3ADC3809916}"/>
            </c:ext>
          </c:extLst>
        </c:ser>
        <c:ser>
          <c:idx val="6"/>
          <c:order val="6"/>
          <c:tx>
            <c:strRef>
              <c:f>COMBINED_USERS!$A$356</c:f>
              <c:strCache>
                <c:ptCount val="1"/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COMBINED_USERS!$D$395:$D$410</c:f>
              <c:numCache>
                <c:formatCode>_(* #,##0.0_);_(* \(#,##0.0\);_(* "-"??_);_(@_)</c:formatCode>
                <c:ptCount val="16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B9B4-EA4F-ACB2-C3ADC3809916}"/>
            </c:ext>
          </c:extLst>
        </c:ser>
        <c:ser>
          <c:idx val="7"/>
          <c:order val="7"/>
          <c:tx>
            <c:strRef>
              <c:f>COMBINED_USERS!$A$415</c:f>
              <c:strCache>
                <c:ptCount val="1"/>
              </c:strCache>
            </c:strRef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COMBINED_USERS!$B$41:$B$54</c:f>
              <c:numCache>
                <c:formatCode>mmm\-yy</c:formatCode>
                <c:ptCount val="14"/>
              </c:numCache>
            </c:numRef>
          </c:cat>
          <c:val>
            <c:numRef>
              <c:f>COMBINED_USERS!$D$454:$D$466</c:f>
              <c:numCache>
                <c:formatCode>_(* #,##0.0_);_(* \(#,##0.0\);_(*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978-EA41-A390-7416FFBD7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  <c:extLst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AMPP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cat>
            <c:numRef>
              <c:f>' APP_RXINSIGHT_PRD_TRI_D    '!$B$3:$B$9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 APP_RXINSIGHT_PRD_TRI_D    '!$C$3:$C$9</c:f>
              <c:numCache>
                <c:formatCode>0.0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229-204D-8D70-D11157013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AMPP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cat>
            <c:numRef>
              <c:f>' APP_RXINSIGHT_PRD_TRI_D    '!$B$14:$B$37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 APP_RXINSIGHT_PRD_TRI_D    '!$C$14:$C$37</c:f>
              <c:numCache>
                <c:formatCode>0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BE5-4A43-B03D-0ADB6E9A9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6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Volume</c:v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5B9BD5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 APP_RXINSIGHT_PRD_TRI_D    '!$B$41:$B$55</c:f>
              <c:strCache>
                <c:ptCount val="15"/>
                <c:pt idx="0">
                  <c:v>5 2018</c:v>
                </c:pt>
                <c:pt idx="1">
                  <c:v>6 2018</c:v>
                </c:pt>
                <c:pt idx="2">
                  <c:v>7 2018</c:v>
                </c:pt>
                <c:pt idx="3">
                  <c:v>8 2018</c:v>
                </c:pt>
                <c:pt idx="4">
                  <c:v>9 2018</c:v>
                </c:pt>
                <c:pt idx="5">
                  <c:v>10 2018</c:v>
                </c:pt>
                <c:pt idx="6">
                  <c:v>11 2018</c:v>
                </c:pt>
                <c:pt idx="7">
                  <c:v>12 2018</c:v>
                </c:pt>
                <c:pt idx="8">
                  <c:v>1 2019</c:v>
                </c:pt>
                <c:pt idx="9">
                  <c:v>2 2019</c:v>
                </c:pt>
                <c:pt idx="10">
                  <c:v>3 2019</c:v>
                </c:pt>
                <c:pt idx="11">
                  <c:v>4 2019</c:v>
                </c:pt>
                <c:pt idx="12">
                  <c:v>5 2019</c:v>
                </c:pt>
                <c:pt idx="13">
                  <c:v>6 2019</c:v>
                </c:pt>
                <c:pt idx="14">
                  <c:v>7 2019</c:v>
                </c:pt>
              </c:strCache>
            </c:strRef>
          </c:cat>
          <c:val>
            <c:numRef>
              <c:f>' APP_RXINSIGHT_PRD_TRI_D    '!$C$41:$C$55</c:f>
              <c:numCache>
                <c:formatCode>_(* #,##0_);_(* \(#,##0\);_(* "-"??_);_(@_)</c:formatCode>
                <c:ptCount val="1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14-4740-9C55-53B530750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AMPP</c:v>
          </c:tx>
          <c:spPr>
            <a:ln w="38100" cap="flat" cmpd="dbl" algn="ctr">
              <a:solidFill>
                <a:srgbClr val="5B9BD5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5B9BD5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 APP_RXINSIGHT_PRD_TRI_D    '!$B$41:$B$55</c:f>
              <c:strCache>
                <c:ptCount val="15"/>
                <c:pt idx="0">
                  <c:v>5 2018</c:v>
                </c:pt>
                <c:pt idx="1">
                  <c:v>6 2018</c:v>
                </c:pt>
                <c:pt idx="2">
                  <c:v>7 2018</c:v>
                </c:pt>
                <c:pt idx="3">
                  <c:v>8 2018</c:v>
                </c:pt>
                <c:pt idx="4">
                  <c:v>9 2018</c:v>
                </c:pt>
                <c:pt idx="5">
                  <c:v>10 2018</c:v>
                </c:pt>
                <c:pt idx="6">
                  <c:v>11 2018</c:v>
                </c:pt>
                <c:pt idx="7">
                  <c:v>12 2018</c:v>
                </c:pt>
                <c:pt idx="8">
                  <c:v>1 2019</c:v>
                </c:pt>
                <c:pt idx="9">
                  <c:v>2 2019</c:v>
                </c:pt>
                <c:pt idx="10">
                  <c:v>3 2019</c:v>
                </c:pt>
                <c:pt idx="11">
                  <c:v>4 2019</c:v>
                </c:pt>
                <c:pt idx="12">
                  <c:v>5 2019</c:v>
                </c:pt>
                <c:pt idx="13">
                  <c:v>6 2019</c:v>
                </c:pt>
                <c:pt idx="14">
                  <c:v>7 2019</c:v>
                </c:pt>
              </c:strCache>
            </c:strRef>
          </c:cat>
          <c:val>
            <c:numRef>
              <c:f>' APP_RXINSIGHT_PRD_TRI_D    '!$E$41:$E$55</c:f>
              <c:numCache>
                <c:formatCode>_(* #,##0.0_);_(* \(#,##0.0\);_(* "-"??_);_(@_)</c:formatCode>
                <c:ptCount val="1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BA3-9643-9048-B228EB6F7FD8}"/>
            </c:ext>
          </c:extLst>
        </c:ser>
        <c:ser>
          <c:idx val="0"/>
          <c:order val="1"/>
          <c:tx>
            <c:v>Q_TIME</c:v>
          </c:tx>
          <c:spPr>
            <a:ln w="38100" cap="flat" cmpd="dbl" algn="ctr">
              <a:solidFill>
                <a:srgbClr val="FF000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strRef>
              <c:f>' APP_RXINSIGHT_PRD_TRI_D    '!$B$41:$B$55</c:f>
              <c:strCache>
                <c:ptCount val="15"/>
                <c:pt idx="0">
                  <c:v>5 2018</c:v>
                </c:pt>
                <c:pt idx="1">
                  <c:v>6 2018</c:v>
                </c:pt>
                <c:pt idx="2">
                  <c:v>7 2018</c:v>
                </c:pt>
                <c:pt idx="3">
                  <c:v>8 2018</c:v>
                </c:pt>
                <c:pt idx="4">
                  <c:v>9 2018</c:v>
                </c:pt>
                <c:pt idx="5">
                  <c:v>10 2018</c:v>
                </c:pt>
                <c:pt idx="6">
                  <c:v>11 2018</c:v>
                </c:pt>
                <c:pt idx="7">
                  <c:v>12 2018</c:v>
                </c:pt>
                <c:pt idx="8">
                  <c:v>1 2019</c:v>
                </c:pt>
                <c:pt idx="9">
                  <c:v>2 2019</c:v>
                </c:pt>
                <c:pt idx="10">
                  <c:v>3 2019</c:v>
                </c:pt>
                <c:pt idx="11">
                  <c:v>4 2019</c:v>
                </c:pt>
                <c:pt idx="12">
                  <c:v>5 2019</c:v>
                </c:pt>
                <c:pt idx="13">
                  <c:v>6 2019</c:v>
                </c:pt>
                <c:pt idx="14">
                  <c:v>7 2019</c:v>
                </c:pt>
              </c:strCache>
            </c:strRef>
          </c:cat>
          <c:val>
            <c:numRef>
              <c:f>' APP_RXINSIGHT_PRD_TRI_D    '!$D$41:$D$55</c:f>
              <c:numCache>
                <c:formatCode>_(* #,##0.0_);_(* \(#,##0.0\);_(* "-"??_);_(@_)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A3-9643-9048-B228EB6F7FD8}"/>
            </c:ext>
          </c:extLst>
        </c:ser>
        <c:ser>
          <c:idx val="2"/>
          <c:order val="2"/>
          <c:tx>
            <c:v>T_TIME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strRef>
              <c:f>' APP_RXINSIGHT_PRD_TRI_D    '!$B$41:$B$55</c:f>
              <c:strCache>
                <c:ptCount val="15"/>
                <c:pt idx="0">
                  <c:v>5 2018</c:v>
                </c:pt>
                <c:pt idx="1">
                  <c:v>6 2018</c:v>
                </c:pt>
                <c:pt idx="2">
                  <c:v>7 2018</c:v>
                </c:pt>
                <c:pt idx="3">
                  <c:v>8 2018</c:v>
                </c:pt>
                <c:pt idx="4">
                  <c:v>9 2018</c:v>
                </c:pt>
                <c:pt idx="5">
                  <c:v>10 2018</c:v>
                </c:pt>
                <c:pt idx="6">
                  <c:v>11 2018</c:v>
                </c:pt>
                <c:pt idx="7">
                  <c:v>12 2018</c:v>
                </c:pt>
                <c:pt idx="8">
                  <c:v>1 2019</c:v>
                </c:pt>
                <c:pt idx="9">
                  <c:v>2 2019</c:v>
                </c:pt>
                <c:pt idx="10">
                  <c:v>3 2019</c:v>
                </c:pt>
                <c:pt idx="11">
                  <c:v>4 2019</c:v>
                </c:pt>
                <c:pt idx="12">
                  <c:v>5 2019</c:v>
                </c:pt>
                <c:pt idx="13">
                  <c:v>6 2019</c:v>
                </c:pt>
                <c:pt idx="14">
                  <c:v>7 2019</c:v>
                </c:pt>
              </c:strCache>
            </c:strRef>
          </c:cat>
          <c:val>
            <c:numRef>
              <c:f>' APP_RXINSIGHT_PRD_TRI_D    '!$F$41:$F$55</c:f>
              <c:numCache>
                <c:formatCode>_(* #,##0.0_);_(* \(#,##0.0\);_(*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BA3-9643-9048-B228EB6F7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7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AMPP</c:v>
          </c:tx>
          <c:spPr>
            <a:ln w="38100" cap="flat" cmpd="dbl" algn="ctr">
              <a:solidFill>
                <a:srgbClr val="5B9BD5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cat>
            <c:numRef>
              <c:f>' APP_RXINSIGHT_PRD_TRI_D    '!$B$14:$B$37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 APP_RXINSIGHT_PRD_TRI_D    '!$E$14:$E$37</c:f>
              <c:numCache>
                <c:formatCode>0.0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81B-6849-9092-070E67A6C29D}"/>
            </c:ext>
          </c:extLst>
        </c:ser>
        <c:ser>
          <c:idx val="0"/>
          <c:order val="1"/>
          <c:tx>
            <c:v>Q_TIME</c:v>
          </c:tx>
          <c:spPr>
            <a:ln w="38100" cap="flat" cmpd="dbl" algn="ctr">
              <a:solidFill>
                <a:srgbClr val="FF000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' APP_RXINSIGHT_PRD_TRI_D    '!$B$14:$B$37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 APP_RXINSIGHT_PRD_TRI_D    '!$D$14:$D$37</c:f>
              <c:numCache>
                <c:formatCode>0.0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1B-6849-9092-070E67A6C29D}"/>
            </c:ext>
          </c:extLst>
        </c:ser>
        <c:ser>
          <c:idx val="2"/>
          <c:order val="2"/>
          <c:tx>
            <c:v>T_TIME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val>
            <c:numRef>
              <c:f>' APP_RXINSIGHT_PRD_TRI_D    '!$F$14:$F$37</c:f>
              <c:numCache>
                <c:formatCode>_(* #,##0.0_);_(* \(#,##0.0\);_(*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81B-6849-9092-070E67A6C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AMPP</c:v>
          </c:tx>
          <c:spPr>
            <a:ln w="38100" cap="flat" cmpd="dbl" algn="ctr">
              <a:solidFill>
                <a:srgbClr val="5B9BD5"/>
              </a:solidFill>
              <a:miter lim="800000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 cap="flat" cmpd="sng" algn="ctr">
                <a:solidFill>
                  <a:srgbClr val="4472C4"/>
                </a:solidFill>
                <a:round/>
              </a:ln>
              <a:effectLst/>
            </c:spPr>
          </c:marker>
          <c:cat>
            <c:numRef>
              <c:f>' APP_RXINSIGHT_PRD_TRI_D    '!$B$3:$B$9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 APP_RXINSIGHT_PRD_TRI_D    '!$E$3:$E$9</c:f>
              <c:numCache>
                <c:formatCode>0.0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C3-1A48-B637-C106C1389542}"/>
            </c:ext>
          </c:extLst>
        </c:ser>
        <c:ser>
          <c:idx val="0"/>
          <c:order val="1"/>
          <c:tx>
            <c:v>Q_TIME</c:v>
          </c:tx>
          <c:spPr>
            <a:ln w="38100" cap="flat" cmpd="dbl" algn="ctr">
              <a:solidFill>
                <a:srgbClr val="FF000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' APP_RXINSIGHT_PRD_TRI_D    '!$B$3:$B$9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 APP_RXINSIGHT_PRD_TRI_D    '!$D$3:$D$9</c:f>
              <c:numCache>
                <c:formatCode>0.0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C3-1A48-B637-C106C1389542}"/>
            </c:ext>
          </c:extLst>
        </c:ser>
        <c:ser>
          <c:idx val="2"/>
          <c:order val="2"/>
          <c:tx>
            <c:v>T_TIME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' APP_RXINSIGHT_PRD_TRI_D    '!$B$3:$B$9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 APP_RXINSIGHT_PRD_TRI_D    '!$F$3:$F$9</c:f>
              <c:numCache>
                <c:formatCode>_(* #,##0.0_);_(* \(#,##0.0\);_(*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C3-1A48-B637-C106C1389542}"/>
            </c:ext>
          </c:extLst>
        </c:ser>
        <c:ser>
          <c:idx val="3"/>
          <c:order val="3"/>
          <c:tx>
            <c:v>R_TIME</c:v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cat>
            <c:numRef>
              <c:f>' APP_RXINSIGHT_PRD_TRI_D    '!$B$3:$B$9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 APP_RXINSIGHT_PRD_TRI_D    '!$E$3:$E$9</c:f>
              <c:numCache>
                <c:formatCode>0.0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4C3-1A48-B637-C106C138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rgbClr val="4472C4"/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"/>
      </c:valAx>
      <c:spPr>
        <a:noFill/>
        <a:ln>
          <a:solidFill>
            <a:srgbClr val="4472C4">
              <a:alpha val="96000"/>
            </a:srgbClr>
          </a:solidFill>
        </a:ln>
        <a:effectLst>
          <a:outerShdw blurRad="50800" dist="50800" dir="5400000" algn="ctr" rotWithShape="0">
            <a:srgbClr val="4472C4"/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3</xdr:row>
      <xdr:rowOff>0</xdr:rowOff>
    </xdr:from>
    <xdr:to>
      <xdr:col>17</xdr:col>
      <xdr:colOff>95098</xdr:colOff>
      <xdr:row>12</xdr:row>
      <xdr:rowOff>187324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15875</xdr:colOff>
      <xdr:row>15</xdr:row>
      <xdr:rowOff>111125</xdr:rowOff>
    </xdr:from>
    <xdr:to>
      <xdr:col>17</xdr:col>
      <xdr:colOff>130023</xdr:colOff>
      <xdr:row>40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50800</xdr:colOff>
      <xdr:row>42</xdr:row>
      <xdr:rowOff>193675</xdr:rowOff>
    </xdr:from>
    <xdr:to>
      <xdr:col>17</xdr:col>
      <xdr:colOff>177800</xdr:colOff>
      <xdr:row>69</xdr:row>
      <xdr:rowOff>184150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15</xdr:row>
      <xdr:rowOff>184150</xdr:rowOff>
    </xdr:from>
    <xdr:to>
      <xdr:col>37</xdr:col>
      <xdr:colOff>437998</xdr:colOff>
      <xdr:row>40</xdr:row>
      <xdr:rowOff>155575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288925</xdr:colOff>
      <xdr:row>3</xdr:row>
      <xdr:rowOff>12700</xdr:rowOff>
    </xdr:from>
    <xdr:to>
      <xdr:col>27</xdr:col>
      <xdr:colOff>263373</xdr:colOff>
      <xdr:row>12</xdr:row>
      <xdr:rowOff>206374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501650</xdr:colOff>
      <xdr:row>3</xdr:row>
      <xdr:rowOff>15875</xdr:rowOff>
    </xdr:from>
    <xdr:to>
      <xdr:col>37</xdr:col>
      <xdr:colOff>476098</xdr:colOff>
      <xdr:row>13</xdr:row>
      <xdr:rowOff>3174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234950</xdr:colOff>
      <xdr:row>15</xdr:row>
      <xdr:rowOff>158750</xdr:rowOff>
    </xdr:from>
    <xdr:to>
      <xdr:col>27</xdr:col>
      <xdr:colOff>196698</xdr:colOff>
      <xdr:row>40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282575</xdr:colOff>
      <xdr:row>43</xdr:row>
      <xdr:rowOff>44450</xdr:rowOff>
    </xdr:from>
    <xdr:to>
      <xdr:col>27</xdr:col>
      <xdr:colOff>257175</xdr:colOff>
      <xdr:row>70</xdr:row>
      <xdr:rowOff>34925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403225</xdr:colOff>
      <xdr:row>43</xdr:row>
      <xdr:rowOff>28575</xdr:rowOff>
    </xdr:from>
    <xdr:to>
      <xdr:col>37</xdr:col>
      <xdr:colOff>377825</xdr:colOff>
      <xdr:row>70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177800</xdr:colOff>
      <xdr:row>2</xdr:row>
      <xdr:rowOff>114300</xdr:rowOff>
    </xdr:from>
    <xdr:to>
      <xdr:col>38</xdr:col>
      <xdr:colOff>549215</xdr:colOff>
      <xdr:row>2</xdr:row>
      <xdr:rowOff>114301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30759400" y="546100"/>
          <a:ext cx="371415" cy="1"/>
        </a:xfrm>
        <a:prstGeom prst="line">
          <a:avLst/>
        </a:prstGeom>
        <a:ln w="34925" cmpd="dbl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177800</xdr:colOff>
      <xdr:row>3</xdr:row>
      <xdr:rowOff>101600</xdr:rowOff>
    </xdr:from>
    <xdr:to>
      <xdr:col>38</xdr:col>
      <xdr:colOff>549215</xdr:colOff>
      <xdr:row>3</xdr:row>
      <xdr:rowOff>101601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 flipV="1">
          <a:off x="30759400" y="736600"/>
          <a:ext cx="371415" cy="1"/>
        </a:xfrm>
        <a:prstGeom prst="line">
          <a:avLst/>
        </a:prstGeom>
        <a:ln w="34925" cmpd="dbl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177800</xdr:colOff>
      <xdr:row>4</xdr:row>
      <xdr:rowOff>101600</xdr:rowOff>
    </xdr:from>
    <xdr:to>
      <xdr:col>38</xdr:col>
      <xdr:colOff>549215</xdr:colOff>
      <xdr:row>4</xdr:row>
      <xdr:rowOff>101601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flipV="1">
          <a:off x="30759400" y="939800"/>
          <a:ext cx="371415" cy="1"/>
        </a:xfrm>
        <a:prstGeom prst="line">
          <a:avLst/>
        </a:prstGeom>
        <a:ln w="34925" cmpd="dbl">
          <a:solidFill>
            <a:schemeClr val="accent1">
              <a:lumMod val="40000"/>
              <a:lumOff val="6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177800</xdr:colOff>
      <xdr:row>5</xdr:row>
      <xdr:rowOff>117475</xdr:rowOff>
    </xdr:from>
    <xdr:to>
      <xdr:col>38</xdr:col>
      <xdr:colOff>549215</xdr:colOff>
      <xdr:row>5</xdr:row>
      <xdr:rowOff>117476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30753050" y="1165225"/>
          <a:ext cx="371415" cy="1"/>
        </a:xfrm>
        <a:prstGeom prst="line">
          <a:avLst/>
        </a:prstGeom>
        <a:ln w="34925" cmpd="dbl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177800</xdr:colOff>
      <xdr:row>4</xdr:row>
      <xdr:rowOff>101600</xdr:rowOff>
    </xdr:from>
    <xdr:to>
      <xdr:col>38</xdr:col>
      <xdr:colOff>549215</xdr:colOff>
      <xdr:row>4</xdr:row>
      <xdr:rowOff>101601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V="1">
          <a:off x="31127700" y="927100"/>
          <a:ext cx="371415" cy="1"/>
        </a:xfrm>
        <a:prstGeom prst="line">
          <a:avLst/>
        </a:prstGeom>
        <a:ln w="34925" cmpd="dbl">
          <a:solidFill>
            <a:schemeClr val="accent1">
              <a:lumMod val="40000"/>
              <a:lumOff val="6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171450</xdr:colOff>
      <xdr:row>6</xdr:row>
      <xdr:rowOff>111125</xdr:rowOff>
    </xdr:from>
    <xdr:to>
      <xdr:col>38</xdr:col>
      <xdr:colOff>542865</xdr:colOff>
      <xdr:row>6</xdr:row>
      <xdr:rowOff>111126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30746700" y="1381125"/>
          <a:ext cx="371415" cy="1"/>
        </a:xfrm>
        <a:prstGeom prst="line">
          <a:avLst/>
        </a:prstGeom>
        <a:ln w="34925" cmpd="dbl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196850</xdr:colOff>
      <xdr:row>7</xdr:row>
      <xdr:rowOff>88900</xdr:rowOff>
    </xdr:from>
    <xdr:to>
      <xdr:col>38</xdr:col>
      <xdr:colOff>568265</xdr:colOff>
      <xdr:row>7</xdr:row>
      <xdr:rowOff>88901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V="1">
          <a:off x="30772100" y="1565275"/>
          <a:ext cx="371415" cy="1"/>
        </a:xfrm>
        <a:prstGeom prst="line">
          <a:avLst/>
        </a:prstGeom>
        <a:ln w="34925" cmpd="dbl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196850</xdr:colOff>
      <xdr:row>8</xdr:row>
      <xdr:rowOff>88900</xdr:rowOff>
    </xdr:from>
    <xdr:to>
      <xdr:col>38</xdr:col>
      <xdr:colOff>568265</xdr:colOff>
      <xdr:row>8</xdr:row>
      <xdr:rowOff>88901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V="1">
          <a:off x="30772100" y="1771650"/>
          <a:ext cx="371415" cy="1"/>
        </a:xfrm>
        <a:prstGeom prst="line">
          <a:avLst/>
        </a:prstGeom>
        <a:ln w="34925" cmpd="dbl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190500</xdr:colOff>
      <xdr:row>9</xdr:row>
      <xdr:rowOff>114300</xdr:rowOff>
    </xdr:from>
    <xdr:to>
      <xdr:col>38</xdr:col>
      <xdr:colOff>561915</xdr:colOff>
      <xdr:row>9</xdr:row>
      <xdr:rowOff>114301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V="1">
          <a:off x="30765750" y="1987550"/>
          <a:ext cx="371415" cy="1"/>
        </a:xfrm>
        <a:prstGeom prst="line">
          <a:avLst/>
        </a:prstGeom>
        <a:ln w="34925" cmpd="dbl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2</xdr:row>
          <xdr:rowOff>12700</xdr:rowOff>
        </xdr:from>
        <xdr:to>
          <xdr:col>41</xdr:col>
          <xdr:colOff>749300</xdr:colOff>
          <xdr:row>3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3</xdr:row>
          <xdr:rowOff>12700</xdr:rowOff>
        </xdr:from>
        <xdr:to>
          <xdr:col>41</xdr:col>
          <xdr:colOff>749300</xdr:colOff>
          <xdr:row>4</xdr:row>
          <xdr:rowOff>12700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4</xdr:row>
          <xdr:rowOff>25400</xdr:rowOff>
        </xdr:from>
        <xdr:to>
          <xdr:col>41</xdr:col>
          <xdr:colOff>749300</xdr:colOff>
          <xdr:row>4</xdr:row>
          <xdr:rowOff>203200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5</xdr:row>
          <xdr:rowOff>25400</xdr:rowOff>
        </xdr:from>
        <xdr:to>
          <xdr:col>41</xdr:col>
          <xdr:colOff>749300</xdr:colOff>
          <xdr:row>5</xdr:row>
          <xdr:rowOff>190500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6</xdr:row>
          <xdr:rowOff>25400</xdr:rowOff>
        </xdr:from>
        <xdr:to>
          <xdr:col>41</xdr:col>
          <xdr:colOff>736600</xdr:colOff>
          <xdr:row>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7</xdr:row>
          <xdr:rowOff>12700</xdr:rowOff>
        </xdr:from>
        <xdr:to>
          <xdr:col>41</xdr:col>
          <xdr:colOff>749300</xdr:colOff>
          <xdr:row>7</xdr:row>
          <xdr:rowOff>190500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9</xdr:row>
          <xdr:rowOff>12700</xdr:rowOff>
        </xdr:from>
        <xdr:to>
          <xdr:col>41</xdr:col>
          <xdr:colOff>736600</xdr:colOff>
          <xdr:row>10</xdr:row>
          <xdr:rowOff>12700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8</xdr:row>
          <xdr:rowOff>0</xdr:rowOff>
        </xdr:from>
        <xdr:to>
          <xdr:col>41</xdr:col>
          <xdr:colOff>736600</xdr:colOff>
          <xdr:row>8</xdr:row>
          <xdr:rowOff>190500</xdr:rowOff>
        </xdr:to>
        <xdr:sp macro="" textlink="">
          <xdr:nvSpPr>
            <xdr:cNvPr id="1033" name="Check Box 7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1</xdr:row>
          <xdr:rowOff>12700</xdr:rowOff>
        </xdr:from>
        <xdr:to>
          <xdr:col>41</xdr:col>
          <xdr:colOff>749300</xdr:colOff>
          <xdr:row>2</xdr:row>
          <xdr:rowOff>0</xdr:rowOff>
        </xdr:to>
        <xdr:sp macro="" textlink="">
          <xdr:nvSpPr>
            <xdr:cNvPr id="1034" name="All Box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177800</xdr:colOff>
          <xdr:row>10</xdr:row>
          <xdr:rowOff>152400</xdr:rowOff>
        </xdr:from>
        <xdr:to>
          <xdr:col>40</xdr:col>
          <xdr:colOff>38100</xdr:colOff>
          <xdr:row>14</xdr:row>
          <xdr:rowOff>12700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17</xdr:col>
      <xdr:colOff>126848</xdr:colOff>
      <xdr:row>10</xdr:row>
      <xdr:rowOff>203199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17</xdr:col>
      <xdr:colOff>114148</xdr:colOff>
      <xdr:row>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12700</xdr:colOff>
      <xdr:row>38</xdr:row>
      <xdr:rowOff>203200</xdr:rowOff>
    </xdr:from>
    <xdr:to>
      <xdr:col>17</xdr:col>
      <xdr:colOff>139700</xdr:colOff>
      <xdr:row>63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393700</xdr:colOff>
      <xdr:row>38</xdr:row>
      <xdr:rowOff>203200</xdr:rowOff>
    </xdr:from>
    <xdr:to>
      <xdr:col>27</xdr:col>
      <xdr:colOff>507848</xdr:colOff>
      <xdr:row>63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406400</xdr:colOff>
      <xdr:row>11</xdr:row>
      <xdr:rowOff>203200</xdr:rowOff>
    </xdr:from>
    <xdr:to>
      <xdr:col>27</xdr:col>
      <xdr:colOff>520548</xdr:colOff>
      <xdr:row>36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419100</xdr:colOff>
      <xdr:row>0</xdr:row>
      <xdr:rowOff>203200</xdr:rowOff>
    </xdr:from>
    <xdr:to>
      <xdr:col>27</xdr:col>
      <xdr:colOff>533248</xdr:colOff>
      <xdr:row>10</xdr:row>
      <xdr:rowOff>203199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CE5BE-2B3E-8C4D-8C68-387F10F35DF3}">
  <sheetPr codeName="Sheet1">
    <tabColor theme="9"/>
  </sheetPr>
  <dimension ref="A1:G111"/>
  <sheetViews>
    <sheetView zoomScaleNormal="100" workbookViewId="0">
      <selection activeCell="I37" sqref="I37"/>
    </sheetView>
  </sheetViews>
  <sheetFormatPr baseColWidth="10" defaultColWidth="10.83203125" defaultRowHeight="16"/>
  <cols>
    <col min="1" max="1" width="29.1640625" bestFit="1" customWidth="1"/>
    <col min="3" max="3" width="10.83203125" style="116"/>
    <col min="6" max="6" width="10.83203125" style="116"/>
  </cols>
  <sheetData>
    <row r="1" spans="1:7">
      <c r="C1"/>
    </row>
    <row r="2" spans="1:7">
      <c r="A2" s="60"/>
      <c r="C2"/>
    </row>
    <row r="3" spans="1:7">
      <c r="A3" s="60"/>
      <c r="C3"/>
      <c r="G3" s="117"/>
    </row>
    <row r="4" spans="1:7">
      <c r="A4" s="60"/>
      <c r="C4"/>
    </row>
    <row r="5" spans="1:7">
      <c r="A5" s="60"/>
      <c r="C5"/>
    </row>
    <row r="6" spans="1:7">
      <c r="A6" s="60"/>
      <c r="C6"/>
    </row>
    <row r="7" spans="1:7">
      <c r="A7" s="60"/>
      <c r="C7"/>
    </row>
    <row r="8" spans="1:7">
      <c r="A8" s="60"/>
      <c r="C8"/>
    </row>
    <row r="9" spans="1:7">
      <c r="A9" s="60"/>
      <c r="C9"/>
    </row>
    <row r="10" spans="1:7">
      <c r="A10" s="60"/>
      <c r="C10"/>
    </row>
    <row r="11" spans="1:7">
      <c r="A11" s="60"/>
      <c r="C11"/>
    </row>
    <row r="12" spans="1:7">
      <c r="A12" s="60"/>
      <c r="C12"/>
    </row>
    <row r="13" spans="1:7">
      <c r="A13" s="60"/>
      <c r="C13"/>
    </row>
    <row r="14" spans="1:7">
      <c r="A14" s="60"/>
      <c r="C14"/>
    </row>
    <row r="15" spans="1:7">
      <c r="A15" s="60"/>
      <c r="C15"/>
    </row>
    <row r="16" spans="1:7">
      <c r="A16" s="60"/>
      <c r="C16"/>
    </row>
    <row r="17" spans="1:3">
      <c r="A17" s="60"/>
      <c r="C17"/>
    </row>
    <row r="18" spans="1:3">
      <c r="A18" s="60"/>
      <c r="C18"/>
    </row>
    <row r="19" spans="1:3">
      <c r="A19" s="60"/>
      <c r="C19"/>
    </row>
    <row r="20" spans="1:3">
      <c r="A20" s="60"/>
      <c r="C20"/>
    </row>
    <row r="21" spans="1:3">
      <c r="A21" s="60"/>
      <c r="C21"/>
    </row>
    <row r="22" spans="1:3">
      <c r="A22" s="60"/>
      <c r="C22"/>
    </row>
    <row r="23" spans="1:3">
      <c r="A23" s="60"/>
      <c r="C23"/>
    </row>
    <row r="24" spans="1:3">
      <c r="A24" s="60"/>
      <c r="C24"/>
    </row>
    <row r="25" spans="1:3">
      <c r="A25" s="60"/>
      <c r="C25"/>
    </row>
    <row r="26" spans="1:3">
      <c r="A26" s="60"/>
      <c r="C26"/>
    </row>
    <row r="27" spans="1:3">
      <c r="A27" s="60"/>
      <c r="C27"/>
    </row>
    <row r="28" spans="1:3">
      <c r="A28" s="60"/>
      <c r="C28"/>
    </row>
    <row r="29" spans="1:3">
      <c r="A29" s="60"/>
      <c r="C29"/>
    </row>
    <row r="30" spans="1:3">
      <c r="A30" s="60"/>
      <c r="C30"/>
    </row>
    <row r="31" spans="1:3">
      <c r="A31" s="60"/>
      <c r="C31"/>
    </row>
    <row r="32" spans="1:3">
      <c r="A32" s="60"/>
      <c r="C32"/>
    </row>
    <row r="33" spans="1:3">
      <c r="A33" s="60"/>
      <c r="C33"/>
    </row>
    <row r="34" spans="1:3">
      <c r="A34" s="60"/>
      <c r="C34"/>
    </row>
    <row r="35" spans="1:3">
      <c r="A35" s="60"/>
      <c r="C35"/>
    </row>
    <row r="36" spans="1:3">
      <c r="A36" s="60"/>
      <c r="C36"/>
    </row>
    <row r="37" spans="1:3">
      <c r="A37" s="60"/>
      <c r="C37"/>
    </row>
    <row r="38" spans="1:3">
      <c r="A38" s="60"/>
      <c r="C38"/>
    </row>
    <row r="39" spans="1:3">
      <c r="A39" s="60"/>
      <c r="C39"/>
    </row>
    <row r="40" spans="1:3">
      <c r="A40" s="60"/>
      <c r="C40"/>
    </row>
    <row r="41" spans="1:3">
      <c r="A41" s="60"/>
      <c r="C41"/>
    </row>
    <row r="42" spans="1:3">
      <c r="A42" s="60"/>
      <c r="C42"/>
    </row>
    <row r="43" spans="1:3">
      <c r="A43" s="60"/>
      <c r="C43"/>
    </row>
    <row r="44" spans="1:3">
      <c r="A44" s="60"/>
      <c r="C44"/>
    </row>
    <row r="45" spans="1:3">
      <c r="A45" s="60"/>
      <c r="C45"/>
    </row>
    <row r="46" spans="1:3">
      <c r="A46" s="60"/>
      <c r="C46"/>
    </row>
    <row r="47" spans="1:3">
      <c r="A47" s="60"/>
      <c r="C47"/>
    </row>
    <row r="48" spans="1:3">
      <c r="A48" s="60"/>
      <c r="C48"/>
    </row>
    <row r="49" spans="1:3">
      <c r="A49" s="60"/>
      <c r="C49"/>
    </row>
    <row r="50" spans="1:3">
      <c r="A50" s="60"/>
      <c r="C50"/>
    </row>
    <row r="51" spans="1:3">
      <c r="A51" s="60"/>
      <c r="C51"/>
    </row>
    <row r="52" spans="1:3">
      <c r="A52" s="60"/>
      <c r="C52"/>
    </row>
    <row r="53" spans="1:3">
      <c r="A53" s="60"/>
      <c r="C53"/>
    </row>
    <row r="54" spans="1:3">
      <c r="A54" s="60"/>
      <c r="C54"/>
    </row>
    <row r="55" spans="1:3">
      <c r="A55" s="60"/>
      <c r="C55"/>
    </row>
    <row r="56" spans="1:3">
      <c r="A56" s="60"/>
      <c r="C56"/>
    </row>
    <row r="57" spans="1:3">
      <c r="A57" s="60"/>
      <c r="C57"/>
    </row>
    <row r="58" spans="1:3">
      <c r="A58" s="60"/>
      <c r="C58"/>
    </row>
    <row r="59" spans="1:3">
      <c r="A59" s="60"/>
      <c r="C59"/>
    </row>
    <row r="60" spans="1:3">
      <c r="A60" s="60"/>
      <c r="C60"/>
    </row>
    <row r="61" spans="1:3">
      <c r="A61" s="60"/>
      <c r="C61"/>
    </row>
    <row r="62" spans="1:3">
      <c r="A62" s="60"/>
      <c r="C62"/>
    </row>
    <row r="63" spans="1:3">
      <c r="A63" s="60"/>
      <c r="C63"/>
    </row>
    <row r="64" spans="1:3">
      <c r="A64" s="60"/>
      <c r="C64"/>
    </row>
    <row r="65" spans="1:3">
      <c r="A65" s="60"/>
      <c r="C65"/>
    </row>
    <row r="66" spans="1:3">
      <c r="A66" s="60"/>
      <c r="C66"/>
    </row>
    <row r="67" spans="1:3">
      <c r="A67" s="60"/>
      <c r="C67"/>
    </row>
    <row r="68" spans="1:3">
      <c r="A68" s="60"/>
      <c r="C68"/>
    </row>
    <row r="69" spans="1:3">
      <c r="A69" s="60"/>
      <c r="C69"/>
    </row>
    <row r="70" spans="1:3">
      <c r="A70" s="60"/>
      <c r="C70"/>
    </row>
    <row r="71" spans="1:3">
      <c r="A71" s="60"/>
      <c r="C71"/>
    </row>
    <row r="72" spans="1:3">
      <c r="A72" s="60"/>
      <c r="C72"/>
    </row>
    <row r="73" spans="1:3">
      <c r="A73" s="60"/>
      <c r="C73"/>
    </row>
    <row r="74" spans="1:3">
      <c r="A74" s="60"/>
      <c r="C74"/>
    </row>
    <row r="75" spans="1:3">
      <c r="A75" s="60"/>
      <c r="C75"/>
    </row>
    <row r="76" spans="1:3">
      <c r="A76" s="60"/>
      <c r="C76"/>
    </row>
    <row r="77" spans="1:3">
      <c r="A77" s="60"/>
      <c r="C77"/>
    </row>
    <row r="78" spans="1:3">
      <c r="A78" s="60"/>
      <c r="C78"/>
    </row>
    <row r="79" spans="1:3">
      <c r="A79" s="60"/>
      <c r="C79"/>
    </row>
    <row r="80" spans="1:3">
      <c r="A80" s="60"/>
      <c r="C80"/>
    </row>
    <row r="81" spans="1:3">
      <c r="A81" s="60"/>
      <c r="C81"/>
    </row>
    <row r="82" spans="1:3">
      <c r="A82" s="60"/>
      <c r="C82"/>
    </row>
    <row r="83" spans="1:3">
      <c r="A83" s="60"/>
      <c r="C83"/>
    </row>
    <row r="84" spans="1:3">
      <c r="A84" s="60"/>
      <c r="C84"/>
    </row>
    <row r="85" spans="1:3">
      <c r="A85" s="60"/>
      <c r="C85"/>
    </row>
    <row r="86" spans="1:3">
      <c r="A86" s="60"/>
      <c r="C86"/>
    </row>
    <row r="87" spans="1:3">
      <c r="A87" s="60"/>
      <c r="C87"/>
    </row>
    <row r="88" spans="1:3">
      <c r="A88" s="60"/>
      <c r="C88"/>
    </row>
    <row r="89" spans="1:3">
      <c r="A89" s="60"/>
      <c r="C89"/>
    </row>
    <row r="90" spans="1:3">
      <c r="A90" s="60"/>
      <c r="C90"/>
    </row>
    <row r="91" spans="1:3">
      <c r="A91" s="60"/>
      <c r="C91"/>
    </row>
    <row r="92" spans="1:3">
      <c r="A92" s="60"/>
      <c r="C92"/>
    </row>
    <row r="93" spans="1:3">
      <c r="A93" s="60"/>
      <c r="C93"/>
    </row>
    <row r="94" spans="1:3">
      <c r="A94" s="60"/>
      <c r="C94"/>
    </row>
    <row r="95" spans="1:3">
      <c r="A95" s="60"/>
      <c r="C95"/>
    </row>
    <row r="96" spans="1:3">
      <c r="A96" s="60"/>
      <c r="C96"/>
    </row>
    <row r="97" spans="1:3">
      <c r="A97" s="60"/>
      <c r="C97"/>
    </row>
    <row r="98" spans="1:3">
      <c r="A98" s="60"/>
      <c r="C98"/>
    </row>
    <row r="99" spans="1:3">
      <c r="A99" s="60"/>
      <c r="C99"/>
    </row>
    <row r="100" spans="1:3">
      <c r="A100" s="60"/>
      <c r="C100"/>
    </row>
    <row r="101" spans="1:3">
      <c r="A101" s="60"/>
      <c r="C101"/>
    </row>
    <row r="102" spans="1:3">
      <c r="A102" s="60"/>
      <c r="C102"/>
    </row>
    <row r="103" spans="1:3">
      <c r="A103" s="60"/>
      <c r="C103"/>
    </row>
    <row r="104" spans="1:3">
      <c r="A104" s="60"/>
      <c r="C104"/>
    </row>
    <row r="105" spans="1:3">
      <c r="A105" s="60"/>
      <c r="C105"/>
    </row>
    <row r="106" spans="1:3">
      <c r="A106" s="60"/>
      <c r="C106"/>
    </row>
    <row r="107" spans="1:3">
      <c r="A107" s="60"/>
      <c r="C107"/>
    </row>
    <row r="108" spans="1:3">
      <c r="A108" s="60"/>
      <c r="C108"/>
    </row>
    <row r="109" spans="1:3">
      <c r="A109" s="60"/>
      <c r="C109"/>
    </row>
    <row r="110" spans="1:3">
      <c r="A110" s="60"/>
      <c r="C110"/>
    </row>
    <row r="111" spans="1:3">
      <c r="A111" s="60"/>
      <c r="C111"/>
    </row>
  </sheetData>
  <sortState xmlns:xlrd2="http://schemas.microsoft.com/office/spreadsheetml/2017/richdata2" ref="A2:D112">
    <sortCondition descending="1" ref="D2:D11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89890-F5E1-C84D-9BD3-E9AEA5A382BF}">
  <sheetPr codeName="Sheet2">
    <tabColor theme="9"/>
  </sheetPr>
  <dimension ref="A1:G111"/>
  <sheetViews>
    <sheetView zoomScaleNormal="100" workbookViewId="0">
      <selection sqref="A1:XFD1048576"/>
    </sheetView>
  </sheetViews>
  <sheetFormatPr baseColWidth="10" defaultColWidth="10.83203125" defaultRowHeight="16"/>
  <cols>
    <col min="1" max="1" width="29.1640625" bestFit="1" customWidth="1"/>
    <col min="3" max="3" width="10.83203125" style="116"/>
  </cols>
  <sheetData>
    <row r="1" spans="1:7">
      <c r="C1"/>
    </row>
    <row r="2" spans="1:7">
      <c r="A2" s="60"/>
      <c r="C2"/>
    </row>
    <row r="3" spans="1:7">
      <c r="A3" s="60"/>
      <c r="C3"/>
      <c r="E3" s="117"/>
      <c r="F3" s="116"/>
      <c r="G3" s="117"/>
    </row>
    <row r="4" spans="1:7">
      <c r="A4" s="60"/>
      <c r="C4"/>
      <c r="F4" s="116"/>
    </row>
    <row r="5" spans="1:7">
      <c r="A5" s="60"/>
      <c r="C5"/>
      <c r="F5" s="116"/>
    </row>
    <row r="6" spans="1:7">
      <c r="A6" s="60"/>
      <c r="C6"/>
      <c r="F6" s="116"/>
    </row>
    <row r="7" spans="1:7">
      <c r="A7" s="60"/>
      <c r="C7"/>
      <c r="F7" s="116"/>
    </row>
    <row r="8" spans="1:7">
      <c r="A8" s="60"/>
      <c r="C8"/>
      <c r="F8" s="116"/>
    </row>
    <row r="9" spans="1:7">
      <c r="A9" s="60"/>
      <c r="C9"/>
      <c r="F9" s="116"/>
    </row>
    <row r="10" spans="1:7">
      <c r="A10" s="60"/>
      <c r="C10"/>
      <c r="F10" s="116"/>
    </row>
    <row r="11" spans="1:7">
      <c r="A11" s="60"/>
      <c r="C11"/>
      <c r="F11" s="116"/>
    </row>
    <row r="12" spans="1:7">
      <c r="A12" s="60"/>
      <c r="C12"/>
      <c r="F12" s="116"/>
    </row>
    <row r="13" spans="1:7">
      <c r="A13" s="60"/>
      <c r="C13"/>
      <c r="F13" s="116"/>
    </row>
    <row r="14" spans="1:7">
      <c r="A14" s="60"/>
      <c r="C14"/>
      <c r="F14" s="116"/>
    </row>
    <row r="15" spans="1:7">
      <c r="A15" s="60"/>
      <c r="C15"/>
      <c r="F15" s="116"/>
    </row>
    <row r="16" spans="1:7">
      <c r="A16" s="60"/>
      <c r="C16"/>
      <c r="F16" s="116"/>
    </row>
    <row r="17" spans="1:6">
      <c r="A17" s="60"/>
      <c r="C17"/>
      <c r="F17" s="116"/>
    </row>
    <row r="18" spans="1:6">
      <c r="A18" s="60"/>
      <c r="C18"/>
      <c r="F18" s="116"/>
    </row>
    <row r="19" spans="1:6">
      <c r="A19" s="60"/>
      <c r="C19"/>
      <c r="F19" s="116"/>
    </row>
    <row r="20" spans="1:6">
      <c r="A20" s="60"/>
      <c r="C20"/>
      <c r="F20" s="116"/>
    </row>
    <row r="21" spans="1:6">
      <c r="A21" s="60"/>
      <c r="C21"/>
      <c r="F21" s="116"/>
    </row>
    <row r="22" spans="1:6">
      <c r="A22" s="60"/>
      <c r="C22"/>
      <c r="F22" s="116"/>
    </row>
    <row r="23" spans="1:6">
      <c r="A23" s="60"/>
      <c r="C23"/>
    </row>
    <row r="24" spans="1:6">
      <c r="A24" s="60"/>
      <c r="C24"/>
    </row>
    <row r="25" spans="1:6">
      <c r="A25" s="60"/>
      <c r="C25"/>
    </row>
    <row r="26" spans="1:6">
      <c r="A26" s="60"/>
      <c r="C26"/>
    </row>
    <row r="27" spans="1:6">
      <c r="A27" s="60"/>
      <c r="C27"/>
    </row>
    <row r="28" spans="1:6">
      <c r="A28" s="60"/>
      <c r="C28"/>
    </row>
    <row r="29" spans="1:6">
      <c r="A29" s="60"/>
      <c r="C29"/>
    </row>
    <row r="30" spans="1:6">
      <c r="A30" s="60"/>
      <c r="C30"/>
    </row>
    <row r="31" spans="1:6">
      <c r="A31" s="60"/>
      <c r="C31"/>
    </row>
    <row r="32" spans="1:6">
      <c r="A32" s="60"/>
      <c r="C32"/>
    </row>
    <row r="33" spans="1:3">
      <c r="A33" s="60"/>
      <c r="C33"/>
    </row>
    <row r="34" spans="1:3">
      <c r="A34" s="60"/>
      <c r="C34"/>
    </row>
    <row r="35" spans="1:3">
      <c r="A35" s="60"/>
      <c r="C35"/>
    </row>
    <row r="36" spans="1:3">
      <c r="A36" s="60"/>
      <c r="C36"/>
    </row>
    <row r="37" spans="1:3">
      <c r="A37" s="60"/>
      <c r="C37"/>
    </row>
    <row r="38" spans="1:3">
      <c r="A38" s="60"/>
      <c r="C38"/>
    </row>
    <row r="39" spans="1:3">
      <c r="A39" s="60"/>
      <c r="C39"/>
    </row>
    <row r="40" spans="1:3">
      <c r="A40" s="60"/>
      <c r="C40"/>
    </row>
    <row r="41" spans="1:3">
      <c r="A41" s="60"/>
      <c r="C41"/>
    </row>
    <row r="42" spans="1:3">
      <c r="A42" s="60"/>
      <c r="C42"/>
    </row>
    <row r="43" spans="1:3">
      <c r="A43" s="60"/>
      <c r="C43"/>
    </row>
    <row r="44" spans="1:3">
      <c r="A44" s="60"/>
      <c r="C44"/>
    </row>
    <row r="45" spans="1:3">
      <c r="A45" s="60"/>
      <c r="C45"/>
    </row>
    <row r="46" spans="1:3">
      <c r="A46" s="60"/>
      <c r="C46"/>
    </row>
    <row r="47" spans="1:3">
      <c r="A47" s="60"/>
      <c r="C47"/>
    </row>
    <row r="48" spans="1:3">
      <c r="A48" s="60"/>
      <c r="C48"/>
    </row>
    <row r="49" spans="1:3">
      <c r="A49" s="60"/>
      <c r="C49"/>
    </row>
    <row r="50" spans="1:3">
      <c r="A50" s="60"/>
      <c r="C50"/>
    </row>
    <row r="51" spans="1:3">
      <c r="A51" s="60"/>
      <c r="C51"/>
    </row>
    <row r="52" spans="1:3">
      <c r="A52" s="60"/>
      <c r="C52"/>
    </row>
    <row r="53" spans="1:3">
      <c r="A53" s="60"/>
      <c r="C53"/>
    </row>
    <row r="54" spans="1:3">
      <c r="A54" s="60"/>
      <c r="C54"/>
    </row>
    <row r="55" spans="1:3">
      <c r="A55" s="60"/>
      <c r="C55"/>
    </row>
    <row r="56" spans="1:3">
      <c r="A56" s="60"/>
      <c r="C56"/>
    </row>
    <row r="57" spans="1:3">
      <c r="A57" s="60"/>
      <c r="C57"/>
    </row>
    <row r="58" spans="1:3">
      <c r="A58" s="60"/>
      <c r="C58"/>
    </row>
    <row r="59" spans="1:3">
      <c r="A59" s="60"/>
      <c r="C59"/>
    </row>
    <row r="60" spans="1:3">
      <c r="A60" s="60"/>
      <c r="C60"/>
    </row>
    <row r="61" spans="1:3">
      <c r="A61" s="60"/>
      <c r="C61"/>
    </row>
    <row r="62" spans="1:3">
      <c r="A62" s="60"/>
      <c r="C62"/>
    </row>
    <row r="63" spans="1:3">
      <c r="A63" s="60"/>
      <c r="C63"/>
    </row>
    <row r="64" spans="1:3">
      <c r="A64" s="60"/>
      <c r="C64"/>
    </row>
    <row r="65" spans="1:3">
      <c r="A65" s="60"/>
      <c r="C65"/>
    </row>
    <row r="66" spans="1:3">
      <c r="A66" s="60"/>
      <c r="C66"/>
    </row>
    <row r="67" spans="1:3">
      <c r="A67" s="60"/>
      <c r="C67"/>
    </row>
    <row r="68" spans="1:3">
      <c r="A68" s="60"/>
      <c r="C68"/>
    </row>
    <row r="69" spans="1:3">
      <c r="A69" s="60"/>
      <c r="C69"/>
    </row>
    <row r="70" spans="1:3">
      <c r="A70" s="60"/>
      <c r="C70"/>
    </row>
    <row r="71" spans="1:3">
      <c r="A71" s="60"/>
      <c r="C71"/>
    </row>
    <row r="72" spans="1:3">
      <c r="A72" s="60"/>
      <c r="C72"/>
    </row>
    <row r="73" spans="1:3">
      <c r="A73" s="60"/>
      <c r="C73"/>
    </row>
    <row r="74" spans="1:3">
      <c r="A74" s="60"/>
      <c r="C74"/>
    </row>
    <row r="75" spans="1:3">
      <c r="A75" s="60"/>
      <c r="C75"/>
    </row>
    <row r="76" spans="1:3">
      <c r="A76" s="60"/>
      <c r="C76"/>
    </row>
    <row r="77" spans="1:3">
      <c r="A77" s="60"/>
      <c r="C77"/>
    </row>
    <row r="78" spans="1:3">
      <c r="A78" s="60"/>
      <c r="C78"/>
    </row>
    <row r="79" spans="1:3">
      <c r="A79" s="60"/>
      <c r="C79"/>
    </row>
    <row r="80" spans="1:3">
      <c r="A80" s="60"/>
      <c r="C80"/>
    </row>
    <row r="81" spans="1:3">
      <c r="A81" s="60"/>
      <c r="C81"/>
    </row>
    <row r="82" spans="1:3">
      <c r="A82" s="60"/>
      <c r="C82"/>
    </row>
    <row r="83" spans="1:3">
      <c r="A83" s="60"/>
      <c r="C83"/>
    </row>
    <row r="84" spans="1:3">
      <c r="A84" s="60"/>
      <c r="C84"/>
    </row>
    <row r="85" spans="1:3">
      <c r="A85" s="60"/>
      <c r="C85"/>
    </row>
    <row r="86" spans="1:3">
      <c r="A86" s="60"/>
      <c r="C86"/>
    </row>
    <row r="87" spans="1:3">
      <c r="A87" s="60"/>
      <c r="C87"/>
    </row>
    <row r="88" spans="1:3">
      <c r="A88" s="60"/>
      <c r="C88"/>
    </row>
    <row r="89" spans="1:3">
      <c r="A89" s="60"/>
      <c r="C89"/>
    </row>
    <row r="90" spans="1:3">
      <c r="A90" s="60"/>
      <c r="C90"/>
    </row>
    <row r="91" spans="1:3">
      <c r="A91" s="60"/>
      <c r="C91"/>
    </row>
    <row r="92" spans="1:3">
      <c r="A92" s="60"/>
      <c r="C92"/>
    </row>
    <row r="93" spans="1:3">
      <c r="A93" s="60"/>
      <c r="C93"/>
    </row>
    <row r="94" spans="1:3">
      <c r="A94" s="60"/>
      <c r="C94"/>
    </row>
    <row r="95" spans="1:3">
      <c r="A95" s="60"/>
      <c r="C95"/>
    </row>
    <row r="96" spans="1:3">
      <c r="A96" s="60"/>
      <c r="C96"/>
    </row>
    <row r="97" spans="1:3">
      <c r="A97" s="60"/>
      <c r="C97"/>
    </row>
    <row r="98" spans="1:3">
      <c r="A98" s="60"/>
      <c r="C98"/>
    </row>
    <row r="99" spans="1:3">
      <c r="A99" s="60"/>
      <c r="C99"/>
    </row>
    <row r="100" spans="1:3">
      <c r="A100" s="60"/>
      <c r="C100"/>
    </row>
    <row r="101" spans="1:3">
      <c r="A101" s="60"/>
      <c r="C101"/>
    </row>
    <row r="102" spans="1:3">
      <c r="A102" s="60"/>
      <c r="C102"/>
    </row>
    <row r="103" spans="1:3">
      <c r="A103" s="60"/>
      <c r="C103"/>
    </row>
    <row r="104" spans="1:3">
      <c r="A104" s="60"/>
      <c r="C104"/>
    </row>
    <row r="105" spans="1:3">
      <c r="A105" s="60"/>
      <c r="C105"/>
    </row>
    <row r="106" spans="1:3">
      <c r="A106" s="60"/>
      <c r="C106"/>
    </row>
    <row r="107" spans="1:3">
      <c r="A107" s="60"/>
      <c r="C107"/>
    </row>
    <row r="108" spans="1:3">
      <c r="A108" s="60"/>
      <c r="C108"/>
    </row>
    <row r="109" spans="1:3">
      <c r="A109" s="60"/>
      <c r="C109"/>
    </row>
    <row r="110" spans="1:3">
      <c r="A110" s="60"/>
      <c r="C110"/>
    </row>
    <row r="111" spans="1:3">
      <c r="A111" s="60"/>
      <c r="C111"/>
    </row>
  </sheetData>
  <sortState xmlns:xlrd2="http://schemas.microsoft.com/office/spreadsheetml/2017/richdata2" ref="A2:D112">
    <sortCondition descending="1" ref="C2:C11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A433A-8CFA-134D-BE50-A54727ADD2B4}">
  <sheetPr codeName="Sheet3">
    <tabColor theme="9"/>
  </sheetPr>
  <dimension ref="A1:G111"/>
  <sheetViews>
    <sheetView zoomScaleNormal="100" workbookViewId="0">
      <selection sqref="A1:XFD1048576"/>
    </sheetView>
  </sheetViews>
  <sheetFormatPr baseColWidth="10" defaultColWidth="18.5" defaultRowHeight="16"/>
  <cols>
    <col min="3" max="3" width="18.5" style="116"/>
  </cols>
  <sheetData>
    <row r="1" spans="1:7">
      <c r="C1"/>
    </row>
    <row r="2" spans="1:7">
      <c r="A2" s="60"/>
      <c r="C2"/>
    </row>
    <row r="3" spans="1:7">
      <c r="A3" s="60"/>
      <c r="C3"/>
      <c r="F3" s="116"/>
      <c r="G3" s="117"/>
    </row>
    <row r="4" spans="1:7">
      <c r="A4" s="60"/>
      <c r="C4"/>
      <c r="F4" s="116"/>
    </row>
    <row r="5" spans="1:7">
      <c r="A5" s="60"/>
      <c r="C5"/>
      <c r="F5" s="116"/>
    </row>
    <row r="6" spans="1:7">
      <c r="A6" s="60"/>
      <c r="C6"/>
      <c r="F6" s="116"/>
    </row>
    <row r="7" spans="1:7">
      <c r="A7" s="60"/>
      <c r="C7"/>
      <c r="F7" s="116"/>
    </row>
    <row r="8" spans="1:7">
      <c r="A8" s="60"/>
      <c r="C8"/>
      <c r="F8" s="116"/>
    </row>
    <row r="9" spans="1:7">
      <c r="A9" s="60"/>
      <c r="C9"/>
      <c r="F9" s="116"/>
    </row>
    <row r="10" spans="1:7">
      <c r="A10" s="60"/>
      <c r="C10"/>
      <c r="F10" s="116"/>
    </row>
    <row r="11" spans="1:7">
      <c r="A11" s="60"/>
      <c r="C11"/>
      <c r="F11" s="116"/>
    </row>
    <row r="12" spans="1:7">
      <c r="A12" s="60"/>
      <c r="C12"/>
      <c r="F12" s="116"/>
    </row>
    <row r="13" spans="1:7">
      <c r="A13" s="60"/>
      <c r="C13"/>
      <c r="F13" s="116"/>
    </row>
    <row r="14" spans="1:7">
      <c r="A14" s="60"/>
      <c r="C14"/>
      <c r="F14" s="116"/>
    </row>
    <row r="15" spans="1:7">
      <c r="A15" s="60"/>
      <c r="C15"/>
      <c r="F15" s="116"/>
    </row>
    <row r="16" spans="1:7">
      <c r="A16" s="60"/>
      <c r="C16"/>
      <c r="F16" s="116"/>
    </row>
    <row r="17" spans="1:6">
      <c r="A17" s="60"/>
      <c r="C17"/>
      <c r="F17" s="116"/>
    </row>
    <row r="18" spans="1:6">
      <c r="A18" s="60"/>
      <c r="C18"/>
      <c r="F18" s="116"/>
    </row>
    <row r="19" spans="1:6">
      <c r="A19" s="60"/>
      <c r="C19"/>
      <c r="F19" s="116"/>
    </row>
    <row r="20" spans="1:6">
      <c r="A20" s="60"/>
      <c r="C20"/>
      <c r="F20" s="116"/>
    </row>
    <row r="21" spans="1:6">
      <c r="A21" s="60"/>
      <c r="C21"/>
      <c r="F21" s="116"/>
    </row>
    <row r="22" spans="1:6">
      <c r="A22" s="60"/>
      <c r="C22"/>
    </row>
    <row r="23" spans="1:6">
      <c r="A23" s="60"/>
      <c r="C23"/>
    </row>
    <row r="24" spans="1:6">
      <c r="A24" s="60"/>
      <c r="C24"/>
    </row>
    <row r="25" spans="1:6">
      <c r="A25" s="60"/>
      <c r="C25"/>
    </row>
    <row r="26" spans="1:6">
      <c r="A26" s="60"/>
      <c r="C26"/>
    </row>
    <row r="27" spans="1:6">
      <c r="A27" s="60"/>
      <c r="C27"/>
    </row>
    <row r="28" spans="1:6">
      <c r="A28" s="60"/>
      <c r="C28"/>
    </row>
    <row r="29" spans="1:6">
      <c r="A29" s="60"/>
      <c r="C29"/>
    </row>
    <row r="30" spans="1:6">
      <c r="A30" s="60"/>
      <c r="C30"/>
    </row>
    <row r="31" spans="1:6">
      <c r="A31" s="60"/>
      <c r="C31"/>
    </row>
    <row r="32" spans="1:6">
      <c r="A32" s="60"/>
      <c r="C32"/>
    </row>
    <row r="33" spans="1:3">
      <c r="A33" s="60"/>
      <c r="C33"/>
    </row>
    <row r="34" spans="1:3">
      <c r="A34" s="60"/>
      <c r="C34"/>
    </row>
    <row r="35" spans="1:3">
      <c r="A35" s="60"/>
      <c r="C35"/>
    </row>
    <row r="36" spans="1:3">
      <c r="A36" s="60"/>
      <c r="C36"/>
    </row>
    <row r="37" spans="1:3">
      <c r="A37" s="60"/>
      <c r="C37"/>
    </row>
    <row r="38" spans="1:3">
      <c r="A38" s="60"/>
      <c r="C38"/>
    </row>
    <row r="39" spans="1:3">
      <c r="A39" s="60"/>
      <c r="C39"/>
    </row>
    <row r="40" spans="1:3">
      <c r="A40" s="60"/>
      <c r="C40"/>
    </row>
    <row r="41" spans="1:3">
      <c r="A41" s="60"/>
      <c r="C41"/>
    </row>
    <row r="42" spans="1:3">
      <c r="A42" s="60"/>
      <c r="C42"/>
    </row>
    <row r="43" spans="1:3">
      <c r="A43" s="60"/>
      <c r="C43"/>
    </row>
    <row r="44" spans="1:3">
      <c r="A44" s="60"/>
      <c r="C44"/>
    </row>
    <row r="45" spans="1:3">
      <c r="A45" s="60"/>
      <c r="C45"/>
    </row>
    <row r="46" spans="1:3">
      <c r="A46" s="60"/>
      <c r="C46"/>
    </row>
    <row r="47" spans="1:3">
      <c r="A47" s="60"/>
      <c r="C47"/>
    </row>
    <row r="48" spans="1:3">
      <c r="A48" s="60"/>
      <c r="C48"/>
    </row>
    <row r="49" spans="1:3">
      <c r="A49" s="60"/>
      <c r="C49"/>
    </row>
    <row r="50" spans="1:3">
      <c r="A50" s="60"/>
      <c r="C50"/>
    </row>
    <row r="51" spans="1:3">
      <c r="A51" s="60"/>
      <c r="C51"/>
    </row>
    <row r="52" spans="1:3">
      <c r="A52" s="60"/>
      <c r="C52"/>
    </row>
    <row r="53" spans="1:3">
      <c r="A53" s="60"/>
      <c r="C53"/>
    </row>
    <row r="54" spans="1:3">
      <c r="A54" s="60"/>
      <c r="C54"/>
    </row>
    <row r="55" spans="1:3">
      <c r="A55" s="60"/>
      <c r="C55"/>
    </row>
    <row r="56" spans="1:3">
      <c r="A56" s="60"/>
      <c r="C56"/>
    </row>
    <row r="57" spans="1:3">
      <c r="A57" s="60"/>
      <c r="C57"/>
    </row>
    <row r="58" spans="1:3">
      <c r="A58" s="60"/>
      <c r="C58"/>
    </row>
    <row r="59" spans="1:3">
      <c r="A59" s="60"/>
      <c r="C59"/>
    </row>
    <row r="60" spans="1:3">
      <c r="A60" s="60"/>
      <c r="C60"/>
    </row>
    <row r="61" spans="1:3">
      <c r="A61" s="60"/>
      <c r="C61"/>
    </row>
    <row r="62" spans="1:3">
      <c r="A62" s="60"/>
      <c r="C62"/>
    </row>
    <row r="63" spans="1:3">
      <c r="A63" s="60"/>
      <c r="C63"/>
    </row>
    <row r="64" spans="1:3">
      <c r="A64" s="60"/>
      <c r="C64"/>
    </row>
    <row r="65" spans="1:3">
      <c r="A65" s="60"/>
      <c r="C65"/>
    </row>
    <row r="66" spans="1:3">
      <c r="A66" s="60"/>
      <c r="C66"/>
    </row>
    <row r="67" spans="1:3">
      <c r="A67" s="60"/>
      <c r="C67"/>
    </row>
    <row r="68" spans="1:3">
      <c r="A68" s="60"/>
      <c r="C68"/>
    </row>
    <row r="69" spans="1:3">
      <c r="A69" s="60"/>
      <c r="C69"/>
    </row>
    <row r="70" spans="1:3">
      <c r="A70" s="60"/>
      <c r="C70"/>
    </row>
    <row r="71" spans="1:3">
      <c r="A71" s="60"/>
      <c r="C71"/>
    </row>
    <row r="72" spans="1:3">
      <c r="A72" s="60"/>
      <c r="C72"/>
    </row>
    <row r="73" spans="1:3">
      <c r="A73" s="60"/>
      <c r="C73"/>
    </row>
    <row r="74" spans="1:3">
      <c r="A74" s="60"/>
      <c r="C74"/>
    </row>
    <row r="75" spans="1:3">
      <c r="A75" s="60"/>
      <c r="C75"/>
    </row>
    <row r="76" spans="1:3">
      <c r="A76" s="60"/>
      <c r="C76"/>
    </row>
    <row r="77" spans="1:3">
      <c r="A77" s="60"/>
      <c r="C77"/>
    </row>
    <row r="78" spans="1:3">
      <c r="A78" s="60"/>
      <c r="C78"/>
    </row>
    <row r="79" spans="1:3">
      <c r="A79" s="60"/>
      <c r="C79"/>
    </row>
    <row r="80" spans="1:3">
      <c r="A80" s="60"/>
      <c r="C80"/>
    </row>
    <row r="81" spans="1:3">
      <c r="A81" s="60"/>
      <c r="C81"/>
    </row>
    <row r="82" spans="1:3">
      <c r="A82" s="60"/>
      <c r="C82"/>
    </row>
    <row r="83" spans="1:3">
      <c r="A83" s="60"/>
      <c r="C83"/>
    </row>
    <row r="84" spans="1:3">
      <c r="A84" s="60"/>
      <c r="C84"/>
    </row>
    <row r="85" spans="1:3">
      <c r="A85" s="60"/>
      <c r="C85"/>
    </row>
    <row r="86" spans="1:3">
      <c r="A86" s="60"/>
      <c r="C86"/>
    </row>
    <row r="87" spans="1:3">
      <c r="A87" s="60"/>
      <c r="C87"/>
    </row>
    <row r="88" spans="1:3">
      <c r="A88" s="60"/>
      <c r="C88"/>
    </row>
    <row r="89" spans="1:3">
      <c r="A89" s="60"/>
      <c r="C89"/>
    </row>
    <row r="90" spans="1:3">
      <c r="A90" s="60"/>
      <c r="C90"/>
    </row>
    <row r="91" spans="1:3">
      <c r="A91" s="60"/>
      <c r="C91"/>
    </row>
    <row r="92" spans="1:3">
      <c r="A92" s="60"/>
      <c r="C92"/>
    </row>
    <row r="93" spans="1:3">
      <c r="A93" s="60"/>
      <c r="C93"/>
    </row>
    <row r="94" spans="1:3">
      <c r="A94" s="60"/>
      <c r="C94"/>
    </row>
    <row r="95" spans="1:3">
      <c r="A95" s="60"/>
      <c r="C95"/>
    </row>
    <row r="96" spans="1:3">
      <c r="A96" s="60"/>
      <c r="C96"/>
    </row>
    <row r="97" spans="1:3">
      <c r="A97" s="60"/>
      <c r="C97"/>
    </row>
    <row r="98" spans="1:3">
      <c r="A98" s="60"/>
      <c r="C98"/>
    </row>
    <row r="99" spans="1:3">
      <c r="A99" s="60"/>
      <c r="C99"/>
    </row>
    <row r="100" spans="1:3">
      <c r="A100" s="60"/>
      <c r="C100"/>
    </row>
    <row r="101" spans="1:3">
      <c r="A101" s="60"/>
      <c r="C101"/>
    </row>
    <row r="102" spans="1:3">
      <c r="A102" s="60"/>
      <c r="C102"/>
    </row>
    <row r="103" spans="1:3">
      <c r="A103" s="60"/>
      <c r="C103"/>
    </row>
    <row r="104" spans="1:3">
      <c r="A104" s="60"/>
      <c r="C104"/>
    </row>
    <row r="105" spans="1:3">
      <c r="A105" s="60"/>
      <c r="C105"/>
    </row>
    <row r="106" spans="1:3">
      <c r="A106" s="60"/>
      <c r="C106"/>
    </row>
    <row r="107" spans="1:3">
      <c r="A107" s="60"/>
      <c r="C107"/>
    </row>
    <row r="108" spans="1:3">
      <c r="A108" s="60"/>
      <c r="C108"/>
    </row>
    <row r="109" spans="1:3">
      <c r="A109" s="60"/>
      <c r="C109"/>
    </row>
    <row r="110" spans="1:3">
      <c r="A110" s="60"/>
      <c r="C110"/>
    </row>
    <row r="111" spans="1:3">
      <c r="A111" s="60"/>
      <c r="C111"/>
    </row>
  </sheetData>
  <sortState xmlns:xlrd2="http://schemas.microsoft.com/office/spreadsheetml/2017/richdata2" ref="A2:D112">
    <sortCondition descending="1" ref="B2:B1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D287C-ECA9-244E-A877-446CF6B8AE17}">
  <sheetPr codeName="Sheet4">
    <tabColor rgb="FFFFC000"/>
  </sheetPr>
  <dimension ref="A1:AN469"/>
  <sheetViews>
    <sheetView showGridLines="0" tabSelected="1" zoomScale="58" zoomScaleNormal="130" workbookViewId="0">
      <selection activeCell="A179" sqref="A179"/>
    </sheetView>
  </sheetViews>
  <sheetFormatPr baseColWidth="10" defaultColWidth="11" defaultRowHeight="16"/>
  <cols>
    <col min="1" max="1" width="26" bestFit="1" customWidth="1"/>
    <col min="2" max="2" width="14.6640625" style="65" bestFit="1" customWidth="1"/>
    <col min="3" max="3" width="9.33203125" bestFit="1" customWidth="1"/>
    <col min="4" max="4" width="9" bestFit="1" customWidth="1"/>
    <col min="5" max="6" width="8.83203125" bestFit="1" customWidth="1"/>
    <col min="7" max="8" width="8.6640625" bestFit="1" customWidth="1"/>
    <col min="9" max="9" width="11" bestFit="1" customWidth="1"/>
    <col min="40" max="40" width="22.83203125" bestFit="1" customWidth="1"/>
  </cols>
  <sheetData>
    <row r="1" spans="1:40" ht="17" thickBot="1">
      <c r="A1" s="125" t="s">
        <v>0</v>
      </c>
    </row>
    <row r="2" spans="1:40">
      <c r="B2" s="66" t="s">
        <v>1</v>
      </c>
      <c r="C2" s="67" t="s">
        <v>2</v>
      </c>
      <c r="D2" s="67" t="s">
        <v>3</v>
      </c>
      <c r="E2" s="68" t="s">
        <v>4</v>
      </c>
      <c r="F2" s="69" t="s">
        <v>5</v>
      </c>
      <c r="I2" t="s">
        <v>6</v>
      </c>
      <c r="S2" t="s">
        <v>7</v>
      </c>
      <c r="AC2" t="s">
        <v>8</v>
      </c>
      <c r="AM2" s="119" t="s">
        <v>9</v>
      </c>
      <c r="AN2" s="120"/>
    </row>
    <row r="3" spans="1:40">
      <c r="B3" s="70" t="s">
        <v>10</v>
      </c>
      <c r="F3" s="11"/>
      <c r="AN3">
        <f>A2</f>
        <v>0</v>
      </c>
    </row>
    <row r="4" spans="1:40">
      <c r="B4" s="70" t="s">
        <v>11</v>
      </c>
      <c r="F4" s="11"/>
      <c r="AN4">
        <f>A61</f>
        <v>0</v>
      </c>
    </row>
    <row r="5" spans="1:40">
      <c r="B5" s="70" t="s">
        <v>12</v>
      </c>
      <c r="F5" s="11"/>
      <c r="AN5">
        <f>A120</f>
        <v>0</v>
      </c>
    </row>
    <row r="6" spans="1:40">
      <c r="B6" s="70" t="s">
        <v>13</v>
      </c>
      <c r="F6" s="11"/>
      <c r="AN6">
        <f>A179</f>
        <v>0</v>
      </c>
    </row>
    <row r="7" spans="1:40">
      <c r="B7" s="70" t="s">
        <v>14</v>
      </c>
      <c r="F7" s="11"/>
      <c r="AN7">
        <f>A238</f>
        <v>0</v>
      </c>
    </row>
    <row r="8" spans="1:40">
      <c r="B8" s="70" t="s">
        <v>15</v>
      </c>
      <c r="F8" s="11"/>
      <c r="AN8">
        <f>A297</f>
        <v>0</v>
      </c>
    </row>
    <row r="9" spans="1:40">
      <c r="B9" s="70" t="s">
        <v>16</v>
      </c>
      <c r="F9" s="11"/>
      <c r="AN9">
        <f>A356</f>
        <v>0</v>
      </c>
    </row>
    <row r="10" spans="1:40" ht="17" thickBot="1">
      <c r="B10" s="72"/>
      <c r="C10" s="73"/>
      <c r="D10" s="74"/>
      <c r="E10" s="75"/>
      <c r="F10" s="76"/>
      <c r="AN10">
        <f>A415</f>
        <v>0</v>
      </c>
    </row>
    <row r="12" spans="1:40" ht="17" thickBot="1"/>
    <row r="13" spans="1:40">
      <c r="B13" s="77" t="s">
        <v>17</v>
      </c>
      <c r="C13" s="78" t="s">
        <v>2</v>
      </c>
      <c r="D13" s="79" t="s">
        <v>3</v>
      </c>
      <c r="E13" s="79" t="s">
        <v>4</v>
      </c>
      <c r="F13" s="80" t="s">
        <v>5</v>
      </c>
    </row>
    <row r="14" spans="1:40">
      <c r="B14" s="70">
        <v>0</v>
      </c>
      <c r="F14" s="11"/>
    </row>
    <row r="15" spans="1:40">
      <c r="B15" s="70">
        <v>1</v>
      </c>
      <c r="F15" s="11"/>
      <c r="I15" t="s">
        <v>18</v>
      </c>
      <c r="S15" t="s">
        <v>19</v>
      </c>
      <c r="AC15" t="s">
        <v>20</v>
      </c>
    </row>
    <row r="16" spans="1:40">
      <c r="B16" s="70">
        <v>2</v>
      </c>
      <c r="F16" s="11"/>
    </row>
    <row r="17" spans="2:6">
      <c r="B17" s="70">
        <v>3</v>
      </c>
      <c r="F17" s="11"/>
    </row>
    <row r="18" spans="2:6">
      <c r="B18" s="70">
        <v>4</v>
      </c>
      <c r="F18" s="11"/>
    </row>
    <row r="19" spans="2:6">
      <c r="B19" s="70">
        <v>5</v>
      </c>
      <c r="F19" s="11"/>
    </row>
    <row r="20" spans="2:6">
      <c r="B20" s="70">
        <v>6</v>
      </c>
      <c r="F20" s="11"/>
    </row>
    <row r="21" spans="2:6">
      <c r="B21" s="70">
        <v>7</v>
      </c>
      <c r="F21" s="11"/>
    </row>
    <row r="22" spans="2:6">
      <c r="B22" s="70">
        <v>8</v>
      </c>
      <c r="F22" s="11"/>
    </row>
    <row r="23" spans="2:6">
      <c r="B23" s="70">
        <v>9</v>
      </c>
      <c r="F23" s="11"/>
    </row>
    <row r="24" spans="2:6">
      <c r="B24" s="70">
        <v>10</v>
      </c>
      <c r="F24" s="11"/>
    </row>
    <row r="25" spans="2:6">
      <c r="B25" s="70">
        <v>11</v>
      </c>
      <c r="F25" s="11"/>
    </row>
    <row r="26" spans="2:6">
      <c r="B26" s="70">
        <v>12</v>
      </c>
      <c r="F26" s="11"/>
    </row>
    <row r="27" spans="2:6">
      <c r="B27" s="70">
        <v>13</v>
      </c>
      <c r="F27" s="11"/>
    </row>
    <row r="28" spans="2:6">
      <c r="B28" s="70">
        <v>14</v>
      </c>
      <c r="F28" s="11"/>
    </row>
    <row r="29" spans="2:6">
      <c r="B29" s="70">
        <v>15</v>
      </c>
      <c r="F29" s="11"/>
    </row>
    <row r="30" spans="2:6">
      <c r="B30" s="70">
        <v>16</v>
      </c>
      <c r="F30" s="11"/>
    </row>
    <row r="31" spans="2:6">
      <c r="B31" s="70">
        <v>17</v>
      </c>
      <c r="F31" s="11"/>
    </row>
    <row r="32" spans="2:6">
      <c r="B32" s="70">
        <v>18</v>
      </c>
      <c r="F32" s="11"/>
    </row>
    <row r="33" spans="2:29">
      <c r="B33" s="70">
        <v>19</v>
      </c>
      <c r="F33" s="11"/>
    </row>
    <row r="34" spans="2:29">
      <c r="B34" s="70">
        <v>20</v>
      </c>
      <c r="F34" s="11"/>
    </row>
    <row r="35" spans="2:29">
      <c r="B35" s="70">
        <v>21</v>
      </c>
      <c r="F35" s="11"/>
    </row>
    <row r="36" spans="2:29">
      <c r="B36" s="70">
        <v>22</v>
      </c>
      <c r="F36" s="11"/>
    </row>
    <row r="37" spans="2:29">
      <c r="B37" s="70">
        <v>23</v>
      </c>
      <c r="F37" s="11"/>
    </row>
    <row r="38" spans="2:29" ht="17" thickBot="1">
      <c r="B38" s="72"/>
      <c r="C38" s="73"/>
      <c r="D38" s="74"/>
      <c r="E38" s="75"/>
      <c r="F38" s="76"/>
      <c r="H38" s="5"/>
      <c r="I38" s="5"/>
    </row>
    <row r="39" spans="2:29" ht="17" thickBot="1"/>
    <row r="40" spans="2:29">
      <c r="B40" s="77" t="s">
        <v>21</v>
      </c>
      <c r="C40" s="78" t="s">
        <v>2</v>
      </c>
      <c r="D40" s="78" t="s">
        <v>3</v>
      </c>
      <c r="E40" s="79" t="s">
        <v>4</v>
      </c>
      <c r="F40" s="80" t="s">
        <v>5</v>
      </c>
    </row>
    <row r="41" spans="2:29">
      <c r="B41" s="81"/>
      <c r="C41" s="20"/>
      <c r="D41" s="17"/>
      <c r="E41" s="17"/>
      <c r="F41" s="19"/>
    </row>
    <row r="42" spans="2:29">
      <c r="B42" s="81"/>
      <c r="C42" s="20"/>
      <c r="D42" s="17"/>
      <c r="E42" s="17"/>
      <c r="F42" s="19"/>
      <c r="I42" t="s">
        <v>22</v>
      </c>
      <c r="S42" t="s">
        <v>23</v>
      </c>
      <c r="AC42" t="s">
        <v>24</v>
      </c>
    </row>
    <row r="43" spans="2:29">
      <c r="B43" s="81"/>
      <c r="C43" s="20"/>
      <c r="D43" s="17"/>
      <c r="E43" s="17"/>
      <c r="F43" s="19"/>
    </row>
    <row r="44" spans="2:29">
      <c r="B44" s="81"/>
      <c r="C44" s="20"/>
      <c r="D44" s="17"/>
      <c r="E44" s="17"/>
      <c r="F44" s="19"/>
    </row>
    <row r="45" spans="2:29">
      <c r="B45" s="81"/>
      <c r="C45" s="20"/>
      <c r="D45" s="17"/>
      <c r="E45" s="17"/>
      <c r="F45" s="19"/>
    </row>
    <row r="46" spans="2:29">
      <c r="B46" s="81"/>
      <c r="C46" s="20"/>
      <c r="D46" s="17"/>
      <c r="E46" s="17"/>
      <c r="F46" s="19"/>
    </row>
    <row r="47" spans="2:29">
      <c r="B47" s="81"/>
      <c r="C47" s="20"/>
      <c r="D47" s="17"/>
      <c r="E47" s="17"/>
      <c r="F47" s="19"/>
    </row>
    <row r="48" spans="2:29">
      <c r="B48" s="81"/>
      <c r="C48" s="20"/>
      <c r="D48" s="17"/>
      <c r="E48" s="17"/>
      <c r="F48" s="19"/>
    </row>
    <row r="49" spans="1:8">
      <c r="B49" s="81"/>
      <c r="C49" s="20"/>
      <c r="D49" s="17"/>
      <c r="E49" s="17"/>
      <c r="F49" s="19"/>
    </row>
    <row r="50" spans="1:8">
      <c r="B50" s="81"/>
      <c r="C50" s="20"/>
      <c r="D50" s="17"/>
      <c r="E50" s="17"/>
      <c r="F50" s="19"/>
    </row>
    <row r="51" spans="1:8">
      <c r="B51" s="81"/>
      <c r="C51" s="20"/>
      <c r="D51" s="17"/>
      <c r="E51" s="17"/>
      <c r="F51" s="19"/>
    </row>
    <row r="52" spans="1:8">
      <c r="B52" s="81"/>
      <c r="C52" s="20"/>
      <c r="D52" s="17"/>
      <c r="E52" s="17"/>
      <c r="F52" s="19"/>
    </row>
    <row r="53" spans="1:8">
      <c r="B53" s="81"/>
      <c r="C53" s="20"/>
      <c r="D53" s="17"/>
      <c r="E53" s="17"/>
      <c r="F53" s="19"/>
    </row>
    <row r="54" spans="1:8">
      <c r="B54" s="81"/>
      <c r="C54" s="20"/>
      <c r="D54" s="17"/>
      <c r="E54" s="17"/>
      <c r="F54" s="19"/>
    </row>
    <row r="55" spans="1:8">
      <c r="B55" s="81"/>
      <c r="C55" s="20"/>
      <c r="D55" s="17"/>
      <c r="E55" s="17"/>
      <c r="F55" s="19">
        <f t="shared" ref="F55" si="0">D55+E55</f>
        <v>0</v>
      </c>
    </row>
    <row r="56" spans="1:8" ht="17" thickBot="1">
      <c r="B56" s="72"/>
      <c r="C56" s="73"/>
      <c r="D56" s="74"/>
      <c r="E56" s="75"/>
      <c r="F56" s="76"/>
    </row>
    <row r="57" spans="1:8" ht="17" thickBot="1">
      <c r="B57" s="129"/>
      <c r="C57" s="130"/>
      <c r="D57" s="131"/>
      <c r="E57" s="132"/>
      <c r="F57" s="133"/>
    </row>
    <row r="58" spans="1:8">
      <c r="A58" s="22"/>
      <c r="B58" s="82"/>
      <c r="C58" s="23"/>
      <c r="D58" s="23"/>
      <c r="E58" s="24"/>
      <c r="F58" s="25"/>
      <c r="G58" s="2"/>
    </row>
    <row r="59" spans="1:8" ht="17" thickBot="1">
      <c r="A59" s="26"/>
      <c r="B59" s="83"/>
      <c r="C59" s="27"/>
      <c r="D59" s="27"/>
      <c r="E59" s="28"/>
      <c r="F59" s="29"/>
      <c r="G59" s="2"/>
    </row>
    <row r="60" spans="1:8" ht="17" thickBot="1">
      <c r="A60" s="125" t="s">
        <v>0</v>
      </c>
      <c r="B60" s="93"/>
      <c r="C60" s="3"/>
      <c r="D60" s="3"/>
      <c r="E60" s="2"/>
      <c r="F60" s="124"/>
      <c r="G60" s="2"/>
    </row>
    <row r="61" spans="1:8">
      <c r="B61" s="77" t="s">
        <v>1</v>
      </c>
      <c r="C61" s="79" t="s">
        <v>2</v>
      </c>
      <c r="D61" s="79" t="s">
        <v>3</v>
      </c>
      <c r="E61" s="78" t="s">
        <v>4</v>
      </c>
      <c r="F61" s="80" t="s">
        <v>5</v>
      </c>
      <c r="G61" s="2"/>
      <c r="H61" s="2"/>
    </row>
    <row r="62" spans="1:8">
      <c r="B62" s="70" t="s">
        <v>10</v>
      </c>
      <c r="F62" s="11"/>
      <c r="G62" s="2"/>
      <c r="H62" s="2"/>
    </row>
    <row r="63" spans="1:8">
      <c r="B63" s="70" t="s">
        <v>11</v>
      </c>
      <c r="F63" s="11"/>
      <c r="G63" s="2"/>
      <c r="H63" s="2"/>
    </row>
    <row r="64" spans="1:8">
      <c r="B64" s="70" t="s">
        <v>12</v>
      </c>
      <c r="F64" s="11"/>
      <c r="G64" s="2"/>
      <c r="H64" s="2"/>
    </row>
    <row r="65" spans="2:8">
      <c r="B65" s="70" t="s">
        <v>13</v>
      </c>
      <c r="F65" s="11"/>
      <c r="G65" s="2"/>
      <c r="H65" s="2"/>
    </row>
    <row r="66" spans="2:8">
      <c r="B66" s="70" t="s">
        <v>14</v>
      </c>
      <c r="F66" s="11"/>
      <c r="G66" s="2"/>
      <c r="H66" s="2"/>
    </row>
    <row r="67" spans="2:8">
      <c r="B67" s="70" t="s">
        <v>15</v>
      </c>
      <c r="F67" s="11"/>
      <c r="G67" s="2"/>
      <c r="H67" s="2"/>
    </row>
    <row r="68" spans="2:8">
      <c r="B68" s="70" t="s">
        <v>16</v>
      </c>
      <c r="F68" s="11"/>
      <c r="G68" s="2"/>
      <c r="H68" s="2"/>
    </row>
    <row r="69" spans="2:8" ht="17" thickBot="1">
      <c r="B69" s="72"/>
      <c r="C69" s="73"/>
      <c r="D69" s="74"/>
      <c r="E69" s="75"/>
      <c r="F69" s="76"/>
      <c r="G69" s="2"/>
      <c r="H69" s="2"/>
    </row>
    <row r="70" spans="2:8">
      <c r="G70" s="2"/>
      <c r="H70" s="2"/>
    </row>
    <row r="71" spans="2:8" ht="17" thickBot="1">
      <c r="G71" s="2"/>
      <c r="H71" s="2"/>
    </row>
    <row r="72" spans="2:8">
      <c r="B72" s="77" t="s">
        <v>17</v>
      </c>
      <c r="C72" s="78" t="s">
        <v>2</v>
      </c>
      <c r="D72" s="79" t="s">
        <v>3</v>
      </c>
      <c r="E72" s="79" t="s">
        <v>4</v>
      </c>
      <c r="F72" s="80" t="s">
        <v>5</v>
      </c>
      <c r="G72" s="2"/>
      <c r="H72" s="2"/>
    </row>
    <row r="73" spans="2:8">
      <c r="B73" s="70">
        <v>0</v>
      </c>
      <c r="F73" s="11"/>
      <c r="G73" s="2"/>
      <c r="H73" s="2"/>
    </row>
    <row r="74" spans="2:8">
      <c r="B74" s="70">
        <v>1</v>
      </c>
      <c r="F74" s="11"/>
      <c r="G74" s="2"/>
      <c r="H74" s="2"/>
    </row>
    <row r="75" spans="2:8">
      <c r="B75" s="70">
        <v>2</v>
      </c>
      <c r="F75" s="11"/>
      <c r="G75" s="2"/>
      <c r="H75" s="2"/>
    </row>
    <row r="76" spans="2:8">
      <c r="B76" s="70">
        <v>3</v>
      </c>
      <c r="F76" s="11"/>
      <c r="G76" s="2"/>
      <c r="H76" s="2"/>
    </row>
    <row r="77" spans="2:8">
      <c r="B77" s="70">
        <v>4</v>
      </c>
      <c r="F77" s="11"/>
      <c r="G77" s="2"/>
      <c r="H77" s="2"/>
    </row>
    <row r="78" spans="2:8">
      <c r="B78" s="70">
        <v>5</v>
      </c>
      <c r="F78" s="11"/>
      <c r="G78" s="2"/>
      <c r="H78" s="2"/>
    </row>
    <row r="79" spans="2:8">
      <c r="B79" s="70">
        <v>6</v>
      </c>
      <c r="F79" s="11"/>
      <c r="G79" s="2"/>
      <c r="H79" s="2"/>
    </row>
    <row r="80" spans="2:8">
      <c r="B80" s="70">
        <v>7</v>
      </c>
      <c r="F80" s="11"/>
      <c r="G80" s="2"/>
      <c r="H80" s="2"/>
    </row>
    <row r="81" spans="2:8">
      <c r="B81" s="70">
        <v>8</v>
      </c>
      <c r="F81" s="11"/>
      <c r="G81" s="2"/>
      <c r="H81" s="2"/>
    </row>
    <row r="82" spans="2:8">
      <c r="B82" s="70">
        <v>9</v>
      </c>
      <c r="F82" s="11"/>
      <c r="G82" s="2"/>
      <c r="H82" s="2"/>
    </row>
    <row r="83" spans="2:8">
      <c r="B83" s="70">
        <v>10</v>
      </c>
      <c r="F83" s="11"/>
      <c r="G83" s="2"/>
      <c r="H83" s="2"/>
    </row>
    <row r="84" spans="2:8">
      <c r="B84" s="70">
        <v>11</v>
      </c>
      <c r="F84" s="11"/>
      <c r="G84" s="2"/>
      <c r="H84" s="2"/>
    </row>
    <row r="85" spans="2:8">
      <c r="B85" s="70">
        <v>12</v>
      </c>
      <c r="F85" s="11"/>
      <c r="G85" s="2"/>
      <c r="H85" s="2"/>
    </row>
    <row r="86" spans="2:8">
      <c r="B86" s="70">
        <v>13</v>
      </c>
      <c r="F86" s="11"/>
    </row>
    <row r="87" spans="2:8">
      <c r="B87" s="70">
        <v>14</v>
      </c>
      <c r="F87" s="11"/>
    </row>
    <row r="88" spans="2:8">
      <c r="B88" s="70">
        <v>15</v>
      </c>
      <c r="F88" s="11"/>
    </row>
    <row r="89" spans="2:8">
      <c r="B89" s="70">
        <v>16</v>
      </c>
      <c r="F89" s="11"/>
    </row>
    <row r="90" spans="2:8">
      <c r="B90" s="70">
        <v>17</v>
      </c>
      <c r="F90" s="11"/>
    </row>
    <row r="91" spans="2:8">
      <c r="B91" s="70">
        <v>18</v>
      </c>
      <c r="F91" s="11"/>
    </row>
    <row r="92" spans="2:8">
      <c r="B92" s="70">
        <v>19</v>
      </c>
      <c r="F92" s="11"/>
    </row>
    <row r="93" spans="2:8">
      <c r="B93" s="70">
        <v>20</v>
      </c>
      <c r="F93" s="11"/>
    </row>
    <row r="94" spans="2:8">
      <c r="B94" s="70">
        <v>21</v>
      </c>
      <c r="F94" s="11"/>
    </row>
    <row r="95" spans="2:8">
      <c r="B95" s="70">
        <v>22</v>
      </c>
      <c r="F95" s="11"/>
    </row>
    <row r="96" spans="2:8">
      <c r="B96" s="70">
        <v>23</v>
      </c>
      <c r="F96" s="11"/>
    </row>
    <row r="97" spans="2:6" ht="17" thickBot="1">
      <c r="B97" s="72"/>
      <c r="C97" s="73"/>
      <c r="D97" s="73"/>
      <c r="E97" s="84"/>
      <c r="F97" s="76"/>
    </row>
    <row r="98" spans="2:6" ht="17" thickBot="1"/>
    <row r="99" spans="2:6">
      <c r="B99" s="77" t="s">
        <v>21</v>
      </c>
      <c r="C99" s="78" t="s">
        <v>2</v>
      </c>
      <c r="D99" s="78" t="s">
        <v>3</v>
      </c>
      <c r="E99" s="79" t="s">
        <v>4</v>
      </c>
      <c r="F99" s="80" t="s">
        <v>5</v>
      </c>
    </row>
    <row r="100" spans="2:6">
      <c r="B100" s="81"/>
      <c r="F100" s="19"/>
    </row>
    <row r="101" spans="2:6">
      <c r="B101" s="81"/>
      <c r="F101" s="19"/>
    </row>
    <row r="102" spans="2:6">
      <c r="B102" s="81"/>
      <c r="F102" s="19"/>
    </row>
    <row r="103" spans="2:6">
      <c r="B103" s="81"/>
      <c r="F103" s="19"/>
    </row>
    <row r="104" spans="2:6">
      <c r="B104" s="81"/>
      <c r="F104" s="19"/>
    </row>
    <row r="105" spans="2:6">
      <c r="B105" s="81"/>
      <c r="F105" s="19"/>
    </row>
    <row r="106" spans="2:6">
      <c r="B106" s="81"/>
      <c r="F106" s="19"/>
    </row>
    <row r="107" spans="2:6">
      <c r="B107" s="81"/>
      <c r="F107" s="19"/>
    </row>
    <row r="108" spans="2:6">
      <c r="B108" s="81"/>
      <c r="F108" s="19"/>
    </row>
    <row r="109" spans="2:6">
      <c r="B109" s="81"/>
      <c r="F109" s="19"/>
    </row>
    <row r="110" spans="2:6">
      <c r="B110" s="81"/>
      <c r="F110" s="19"/>
    </row>
    <row r="111" spans="2:6">
      <c r="B111" s="81"/>
      <c r="F111" s="19"/>
    </row>
    <row r="112" spans="2:6">
      <c r="B112" s="81"/>
      <c r="F112" s="19"/>
    </row>
    <row r="113" spans="1:11">
      <c r="B113" s="81"/>
      <c r="C113" s="20"/>
      <c r="D113" s="17"/>
      <c r="E113" s="17"/>
      <c r="F113" s="19"/>
    </row>
    <row r="114" spans="1:11">
      <c r="B114" s="81"/>
      <c r="C114" s="20"/>
      <c r="D114" s="17"/>
      <c r="E114" s="17"/>
      <c r="F114" s="19">
        <f t="shared" ref="F114" si="1">D114+E114</f>
        <v>0</v>
      </c>
    </row>
    <row r="115" spans="1:11" ht="17" thickBot="1">
      <c r="B115" s="72"/>
      <c r="C115" s="73"/>
      <c r="D115" s="73"/>
      <c r="E115" s="84"/>
      <c r="F115" s="76"/>
      <c r="I115" s="1"/>
      <c r="J115" s="58"/>
      <c r="K115" s="58"/>
    </row>
    <row r="117" spans="1:11">
      <c r="A117" s="21"/>
      <c r="B117" s="85"/>
      <c r="C117" s="21"/>
      <c r="D117" s="21"/>
      <c r="E117" s="21"/>
      <c r="F117" s="21"/>
    </row>
    <row r="118" spans="1:11">
      <c r="A118" s="21"/>
      <c r="B118" s="85"/>
      <c r="C118" s="21"/>
      <c r="D118" s="21"/>
      <c r="E118" s="21"/>
      <c r="F118" s="21"/>
    </row>
    <row r="119" spans="1:11" ht="17" thickBot="1">
      <c r="A119" s="125" t="s">
        <v>0</v>
      </c>
    </row>
    <row r="120" spans="1:11">
      <c r="B120" s="77" t="s">
        <v>1</v>
      </c>
      <c r="C120" s="79" t="s">
        <v>2</v>
      </c>
      <c r="D120" s="79" t="s">
        <v>3</v>
      </c>
      <c r="E120" s="78" t="s">
        <v>4</v>
      </c>
      <c r="F120" s="80" t="s">
        <v>5</v>
      </c>
    </row>
    <row r="121" spans="1:11">
      <c r="B121" s="70" t="s">
        <v>10</v>
      </c>
      <c r="F121" s="11"/>
    </row>
    <row r="122" spans="1:11">
      <c r="B122" s="70" t="s">
        <v>11</v>
      </c>
      <c r="F122" s="11"/>
    </row>
    <row r="123" spans="1:11">
      <c r="B123" s="70" t="s">
        <v>12</v>
      </c>
      <c r="F123" s="11"/>
    </row>
    <row r="124" spans="1:11">
      <c r="B124" s="70" t="s">
        <v>13</v>
      </c>
      <c r="F124" s="11"/>
    </row>
    <row r="125" spans="1:11">
      <c r="B125" s="70" t="s">
        <v>14</v>
      </c>
      <c r="F125" s="11"/>
    </row>
    <row r="126" spans="1:11">
      <c r="B126" s="70" t="s">
        <v>15</v>
      </c>
      <c r="F126" s="11"/>
    </row>
    <row r="127" spans="1:11">
      <c r="B127" s="70" t="s">
        <v>16</v>
      </c>
      <c r="F127" s="11"/>
    </row>
    <row r="128" spans="1:11" ht="17" thickBot="1">
      <c r="B128" s="86"/>
      <c r="C128" s="87"/>
      <c r="D128" s="88"/>
      <c r="E128" s="89"/>
      <c r="F128" s="90"/>
    </row>
    <row r="130" spans="2:6" ht="17" thickBot="1"/>
    <row r="131" spans="2:6">
      <c r="B131" s="77" t="s">
        <v>17</v>
      </c>
      <c r="C131" s="78" t="s">
        <v>2</v>
      </c>
      <c r="D131" s="79" t="s">
        <v>3</v>
      </c>
      <c r="E131" s="79" t="s">
        <v>4</v>
      </c>
      <c r="F131" s="80" t="s">
        <v>5</v>
      </c>
    </row>
    <row r="132" spans="2:6">
      <c r="B132" s="70">
        <v>0</v>
      </c>
      <c r="F132" s="11"/>
    </row>
    <row r="133" spans="2:6">
      <c r="B133" s="70">
        <v>1</v>
      </c>
      <c r="F133" s="11"/>
    </row>
    <row r="134" spans="2:6">
      <c r="B134" s="70">
        <v>2</v>
      </c>
      <c r="F134" s="11"/>
    </row>
    <row r="135" spans="2:6">
      <c r="B135" s="70">
        <v>3</v>
      </c>
      <c r="F135" s="11"/>
    </row>
    <row r="136" spans="2:6">
      <c r="B136" s="70">
        <v>4</v>
      </c>
      <c r="F136" s="11"/>
    </row>
    <row r="137" spans="2:6">
      <c r="B137" s="70">
        <v>5</v>
      </c>
      <c r="F137" s="11"/>
    </row>
    <row r="138" spans="2:6">
      <c r="B138" s="70">
        <v>6</v>
      </c>
      <c r="F138" s="11"/>
    </row>
    <row r="139" spans="2:6">
      <c r="B139" s="70">
        <v>7</v>
      </c>
      <c r="F139" s="11"/>
    </row>
    <row r="140" spans="2:6">
      <c r="B140" s="70">
        <v>8</v>
      </c>
      <c r="F140" s="11"/>
    </row>
    <row r="141" spans="2:6">
      <c r="B141" s="70">
        <v>9</v>
      </c>
      <c r="F141" s="11"/>
    </row>
    <row r="142" spans="2:6">
      <c r="B142" s="70">
        <v>10</v>
      </c>
      <c r="F142" s="11"/>
    </row>
    <row r="143" spans="2:6">
      <c r="B143" s="70">
        <v>11</v>
      </c>
      <c r="F143" s="11"/>
    </row>
    <row r="144" spans="2:6">
      <c r="B144" s="70">
        <v>12</v>
      </c>
      <c r="F144" s="11"/>
    </row>
    <row r="145" spans="2:6">
      <c r="B145" s="70">
        <v>13</v>
      </c>
      <c r="F145" s="11"/>
    </row>
    <row r="146" spans="2:6">
      <c r="B146" s="70">
        <v>14</v>
      </c>
      <c r="F146" s="11"/>
    </row>
    <row r="147" spans="2:6">
      <c r="B147" s="70">
        <v>15</v>
      </c>
      <c r="F147" s="11"/>
    </row>
    <row r="148" spans="2:6">
      <c r="B148" s="70">
        <v>16</v>
      </c>
      <c r="F148" s="11"/>
    </row>
    <row r="149" spans="2:6">
      <c r="B149" s="70">
        <v>17</v>
      </c>
      <c r="F149" s="11"/>
    </row>
    <row r="150" spans="2:6">
      <c r="B150" s="70">
        <v>18</v>
      </c>
      <c r="F150" s="11"/>
    </row>
    <row r="151" spans="2:6">
      <c r="B151" s="70">
        <v>19</v>
      </c>
      <c r="F151" s="11"/>
    </row>
    <row r="152" spans="2:6">
      <c r="B152" s="70">
        <v>20</v>
      </c>
      <c r="F152" s="11"/>
    </row>
    <row r="153" spans="2:6">
      <c r="B153" s="70">
        <v>21</v>
      </c>
      <c r="F153" s="11"/>
    </row>
    <row r="154" spans="2:6">
      <c r="B154" s="70">
        <v>22</v>
      </c>
      <c r="F154" s="11"/>
    </row>
    <row r="155" spans="2:6">
      <c r="B155" s="70">
        <v>23</v>
      </c>
      <c r="F155" s="11"/>
    </row>
    <row r="156" spans="2:6" ht="17" thickBot="1">
      <c r="B156" s="86"/>
      <c r="C156" s="87"/>
      <c r="D156" s="87"/>
      <c r="E156" s="88"/>
      <c r="F156" s="91"/>
    </row>
    <row r="157" spans="2:6" ht="17" thickBot="1"/>
    <row r="158" spans="2:6">
      <c r="B158" s="77" t="s">
        <v>21</v>
      </c>
      <c r="C158" s="78" t="s">
        <v>2</v>
      </c>
      <c r="D158" s="78" t="s">
        <v>3</v>
      </c>
      <c r="E158" s="79" t="s">
        <v>4</v>
      </c>
      <c r="F158" s="80" t="s">
        <v>5</v>
      </c>
    </row>
    <row r="159" spans="2:6">
      <c r="B159" s="81"/>
      <c r="F159" s="19"/>
    </row>
    <row r="160" spans="2:6">
      <c r="B160" s="81"/>
      <c r="F160" s="19"/>
    </row>
    <row r="161" spans="1:6">
      <c r="B161" s="81"/>
      <c r="F161" s="19"/>
    </row>
    <row r="162" spans="1:6">
      <c r="B162" s="81"/>
      <c r="F162" s="19"/>
    </row>
    <row r="163" spans="1:6">
      <c r="B163" s="81"/>
      <c r="F163" s="19"/>
    </row>
    <row r="164" spans="1:6">
      <c r="B164" s="81"/>
      <c r="F164" s="19"/>
    </row>
    <row r="165" spans="1:6">
      <c r="B165" s="81"/>
      <c r="F165" s="19"/>
    </row>
    <row r="166" spans="1:6">
      <c r="B166" s="81"/>
      <c r="F166" s="19"/>
    </row>
    <row r="167" spans="1:6">
      <c r="B167" s="81"/>
      <c r="F167" s="19"/>
    </row>
    <row r="168" spans="1:6">
      <c r="B168" s="81"/>
      <c r="F168" s="19"/>
    </row>
    <row r="169" spans="1:6">
      <c r="B169" s="81"/>
      <c r="F169" s="19"/>
    </row>
    <row r="170" spans="1:6">
      <c r="B170" s="81"/>
      <c r="F170" s="19"/>
    </row>
    <row r="171" spans="1:6">
      <c r="B171" s="81"/>
      <c r="F171" s="19"/>
    </row>
    <row r="172" spans="1:6">
      <c r="B172" s="81"/>
      <c r="C172" s="20"/>
      <c r="D172" s="17"/>
      <c r="E172" s="17"/>
      <c r="F172" s="19"/>
    </row>
    <row r="173" spans="1:6">
      <c r="B173" s="81"/>
      <c r="C173" s="20"/>
      <c r="D173" s="17"/>
      <c r="E173" s="17"/>
      <c r="F173" s="19"/>
    </row>
    <row r="174" spans="1:6" ht="17" thickBot="1">
      <c r="B174" s="86"/>
      <c r="C174" s="87"/>
      <c r="D174" s="87"/>
      <c r="E174" s="88"/>
      <c r="F174" s="91"/>
    </row>
    <row r="176" spans="1:6">
      <c r="A176" s="21"/>
      <c r="B176" s="121"/>
      <c r="C176" s="122"/>
      <c r="D176" s="122"/>
      <c r="E176" s="123"/>
      <c r="F176" s="123"/>
    </row>
    <row r="177" spans="1:6">
      <c r="A177" s="21"/>
      <c r="B177" s="121"/>
      <c r="C177" s="122"/>
      <c r="D177" s="122"/>
      <c r="E177" s="123"/>
      <c r="F177" s="123"/>
    </row>
    <row r="178" spans="1:6" ht="17" thickBot="1">
      <c r="A178" s="125" t="s">
        <v>0</v>
      </c>
      <c r="B178" s="93"/>
      <c r="C178" s="3"/>
      <c r="D178" s="3"/>
      <c r="E178" s="2"/>
      <c r="F178" s="2"/>
    </row>
    <row r="179" spans="1:6">
      <c r="B179" s="77" t="s">
        <v>1</v>
      </c>
      <c r="C179" s="79" t="s">
        <v>2</v>
      </c>
      <c r="D179" s="79" t="s">
        <v>3</v>
      </c>
      <c r="E179" s="78" t="s">
        <v>4</v>
      </c>
      <c r="F179" s="80" t="s">
        <v>5</v>
      </c>
    </row>
    <row r="180" spans="1:6">
      <c r="B180" s="70" t="s">
        <v>10</v>
      </c>
      <c r="F180" s="11"/>
    </row>
    <row r="181" spans="1:6">
      <c r="B181" s="70" t="s">
        <v>11</v>
      </c>
      <c r="F181" s="11"/>
    </row>
    <row r="182" spans="1:6">
      <c r="B182" s="70" t="s">
        <v>12</v>
      </c>
      <c r="F182" s="11"/>
    </row>
    <row r="183" spans="1:6">
      <c r="B183" s="70" t="s">
        <v>13</v>
      </c>
      <c r="F183" s="11"/>
    </row>
    <row r="184" spans="1:6">
      <c r="B184" s="70" t="s">
        <v>14</v>
      </c>
      <c r="F184" s="11"/>
    </row>
    <row r="185" spans="1:6">
      <c r="B185" s="70" t="s">
        <v>15</v>
      </c>
      <c r="F185" s="11"/>
    </row>
    <row r="186" spans="1:6">
      <c r="B186" s="70" t="s">
        <v>16</v>
      </c>
      <c r="F186" s="11"/>
    </row>
    <row r="187" spans="1:6" ht="17" thickBot="1">
      <c r="B187" s="86"/>
      <c r="C187" s="87"/>
      <c r="D187" s="88"/>
      <c r="E187" s="89"/>
      <c r="F187" s="90"/>
    </row>
    <row r="189" spans="1:6" ht="17" thickBot="1"/>
    <row r="190" spans="1:6">
      <c r="B190" s="77" t="s">
        <v>17</v>
      </c>
      <c r="C190" s="78" t="s">
        <v>2</v>
      </c>
      <c r="D190" s="79" t="s">
        <v>3</v>
      </c>
      <c r="E190" s="79" t="s">
        <v>4</v>
      </c>
      <c r="F190" s="80" t="s">
        <v>5</v>
      </c>
    </row>
    <row r="191" spans="1:6">
      <c r="B191" s="70">
        <v>0</v>
      </c>
      <c r="F191" s="11"/>
    </row>
    <row r="192" spans="1:6">
      <c r="B192" s="70">
        <v>1</v>
      </c>
      <c r="F192" s="11"/>
    </row>
    <row r="193" spans="2:6">
      <c r="B193" s="70">
        <v>2</v>
      </c>
      <c r="F193" s="11"/>
    </row>
    <row r="194" spans="2:6">
      <c r="B194" s="70">
        <v>3</v>
      </c>
      <c r="F194" s="11"/>
    </row>
    <row r="195" spans="2:6">
      <c r="B195" s="70">
        <v>4</v>
      </c>
      <c r="F195" s="11"/>
    </row>
    <row r="196" spans="2:6">
      <c r="B196" s="70">
        <v>5</v>
      </c>
      <c r="F196" s="11"/>
    </row>
    <row r="197" spans="2:6">
      <c r="B197" s="70">
        <v>6</v>
      </c>
      <c r="F197" s="11"/>
    </row>
    <row r="198" spans="2:6">
      <c r="B198" s="70">
        <v>7</v>
      </c>
      <c r="F198" s="11"/>
    </row>
    <row r="199" spans="2:6">
      <c r="B199" s="70">
        <v>8</v>
      </c>
      <c r="F199" s="11"/>
    </row>
    <row r="200" spans="2:6">
      <c r="B200" s="70">
        <v>9</v>
      </c>
      <c r="F200" s="11"/>
    </row>
    <row r="201" spans="2:6">
      <c r="B201" s="70">
        <v>10</v>
      </c>
      <c r="F201" s="11"/>
    </row>
    <row r="202" spans="2:6">
      <c r="B202" s="70">
        <v>11</v>
      </c>
      <c r="F202" s="11"/>
    </row>
    <row r="203" spans="2:6">
      <c r="B203" s="70">
        <v>12</v>
      </c>
      <c r="F203" s="11"/>
    </row>
    <row r="204" spans="2:6">
      <c r="B204" s="70">
        <v>13</v>
      </c>
      <c r="F204" s="11"/>
    </row>
    <row r="205" spans="2:6">
      <c r="B205" s="70">
        <v>14</v>
      </c>
      <c r="F205" s="11"/>
    </row>
    <row r="206" spans="2:6">
      <c r="B206" s="70">
        <v>15</v>
      </c>
      <c r="F206" s="11"/>
    </row>
    <row r="207" spans="2:6">
      <c r="B207" s="70">
        <v>16</v>
      </c>
      <c r="F207" s="11"/>
    </row>
    <row r="208" spans="2:6">
      <c r="B208" s="70">
        <v>17</v>
      </c>
      <c r="F208" s="11"/>
    </row>
    <row r="209" spans="2:6">
      <c r="B209" s="70">
        <v>18</v>
      </c>
      <c r="F209" s="11"/>
    </row>
    <row r="210" spans="2:6">
      <c r="B210" s="70">
        <v>19</v>
      </c>
      <c r="F210" s="11"/>
    </row>
    <row r="211" spans="2:6">
      <c r="B211" s="70">
        <v>20</v>
      </c>
      <c r="F211" s="11"/>
    </row>
    <row r="212" spans="2:6">
      <c r="B212" s="70">
        <v>21</v>
      </c>
      <c r="F212" s="11"/>
    </row>
    <row r="213" spans="2:6">
      <c r="B213" s="70">
        <v>22</v>
      </c>
      <c r="F213" s="11"/>
    </row>
    <row r="214" spans="2:6">
      <c r="B214" s="70">
        <v>23</v>
      </c>
      <c r="F214" s="11"/>
    </row>
    <row r="215" spans="2:6" ht="17" thickBot="1">
      <c r="B215" s="86"/>
      <c r="C215" s="87"/>
      <c r="D215" s="87"/>
      <c r="E215" s="92"/>
      <c r="F215" s="90"/>
    </row>
    <row r="216" spans="2:6" ht="17" thickBot="1"/>
    <row r="217" spans="2:6">
      <c r="B217" s="77" t="s">
        <v>21</v>
      </c>
      <c r="C217" s="78" t="s">
        <v>2</v>
      </c>
      <c r="D217" s="78" t="s">
        <v>3</v>
      </c>
      <c r="E217" s="79" t="s">
        <v>4</v>
      </c>
      <c r="F217" s="80" t="s">
        <v>5</v>
      </c>
    </row>
    <row r="218" spans="2:6">
      <c r="B218" s="81"/>
      <c r="F218" s="19"/>
    </row>
    <row r="219" spans="2:6">
      <c r="B219" s="81"/>
      <c r="F219" s="19"/>
    </row>
    <row r="220" spans="2:6">
      <c r="B220" s="81"/>
      <c r="F220" s="19"/>
    </row>
    <row r="221" spans="2:6">
      <c r="B221" s="81"/>
      <c r="F221" s="19"/>
    </row>
    <row r="222" spans="2:6">
      <c r="B222" s="81"/>
      <c r="F222" s="19"/>
    </row>
    <row r="223" spans="2:6">
      <c r="B223" s="81"/>
      <c r="F223" s="19"/>
    </row>
    <row r="224" spans="2:6">
      <c r="B224" s="81"/>
      <c r="F224" s="19"/>
    </row>
    <row r="225" spans="1:6">
      <c r="B225" s="81"/>
      <c r="F225" s="19"/>
    </row>
    <row r="226" spans="1:6">
      <c r="B226" s="81"/>
      <c r="F226" s="19"/>
    </row>
    <row r="227" spans="1:6">
      <c r="B227" s="81"/>
      <c r="F227" s="19"/>
    </row>
    <row r="228" spans="1:6">
      <c r="B228" s="81"/>
      <c r="F228" s="19"/>
    </row>
    <row r="229" spans="1:6">
      <c r="B229" s="81"/>
      <c r="F229" s="19"/>
    </row>
    <row r="230" spans="1:6">
      <c r="B230" s="81"/>
      <c r="F230" s="19"/>
    </row>
    <row r="231" spans="1:6">
      <c r="B231" s="81"/>
      <c r="C231" s="10"/>
      <c r="D231" s="17"/>
      <c r="E231" s="17"/>
      <c r="F231" s="19"/>
    </row>
    <row r="232" spans="1:6">
      <c r="B232" s="81"/>
      <c r="C232" s="10"/>
      <c r="D232" s="17"/>
      <c r="E232" s="17"/>
      <c r="F232" s="19"/>
    </row>
    <row r="233" spans="1:6" ht="17" thickBot="1">
      <c r="B233" s="86"/>
      <c r="C233" s="87"/>
      <c r="D233" s="87"/>
      <c r="E233" s="92"/>
      <c r="F233" s="90"/>
    </row>
    <row r="234" spans="1:6">
      <c r="B234" s="93"/>
    </row>
    <row r="235" spans="1:6">
      <c r="A235" s="21"/>
      <c r="B235" s="121"/>
      <c r="C235" s="122"/>
      <c r="D235" s="122"/>
      <c r="E235" s="123"/>
      <c r="F235" s="123"/>
    </row>
    <row r="236" spans="1:6">
      <c r="A236" s="21"/>
      <c r="B236" s="121"/>
      <c r="C236" s="122"/>
      <c r="D236" s="122"/>
      <c r="E236" s="123"/>
      <c r="F236" s="123"/>
    </row>
    <row r="237" spans="1:6" ht="17" thickBot="1">
      <c r="A237" s="125" t="s">
        <v>0</v>
      </c>
      <c r="B237" s="93"/>
      <c r="C237" s="3"/>
      <c r="D237" s="3"/>
      <c r="E237" s="2"/>
      <c r="F237" s="2"/>
    </row>
    <row r="238" spans="1:6">
      <c r="B238" s="77" t="s">
        <v>1</v>
      </c>
      <c r="C238" s="79" t="s">
        <v>2</v>
      </c>
      <c r="D238" s="79" t="s">
        <v>3</v>
      </c>
      <c r="E238" s="78" t="s">
        <v>4</v>
      </c>
      <c r="F238" s="80" t="s">
        <v>5</v>
      </c>
    </row>
    <row r="239" spans="1:6">
      <c r="B239" s="70" t="s">
        <v>10</v>
      </c>
      <c r="F239" s="11"/>
    </row>
    <row r="240" spans="1:6">
      <c r="B240" s="70" t="s">
        <v>11</v>
      </c>
      <c r="F240" s="11"/>
    </row>
    <row r="241" spans="2:6">
      <c r="B241" s="70" t="s">
        <v>12</v>
      </c>
      <c r="F241" s="11"/>
    </row>
    <row r="242" spans="2:6">
      <c r="B242" s="70" t="s">
        <v>13</v>
      </c>
      <c r="F242" s="11"/>
    </row>
    <row r="243" spans="2:6">
      <c r="B243" s="70" t="s">
        <v>14</v>
      </c>
      <c r="F243" s="11"/>
    </row>
    <row r="244" spans="2:6">
      <c r="B244" s="70" t="s">
        <v>15</v>
      </c>
      <c r="F244" s="11"/>
    </row>
    <row r="245" spans="2:6">
      <c r="B245" s="70" t="s">
        <v>16</v>
      </c>
      <c r="F245" s="11"/>
    </row>
    <row r="246" spans="2:6" ht="17" thickBot="1">
      <c r="B246" s="86"/>
      <c r="C246" s="87"/>
      <c r="D246" s="88"/>
      <c r="E246" s="89"/>
      <c r="F246" s="90"/>
    </row>
    <row r="248" spans="2:6" ht="17" thickBot="1"/>
    <row r="249" spans="2:6">
      <c r="B249" s="77" t="s">
        <v>17</v>
      </c>
      <c r="C249" s="78" t="s">
        <v>2</v>
      </c>
      <c r="D249" s="79" t="s">
        <v>3</v>
      </c>
      <c r="E249" s="79" t="s">
        <v>4</v>
      </c>
      <c r="F249" s="80" t="s">
        <v>5</v>
      </c>
    </row>
    <row r="250" spans="2:6">
      <c r="B250" s="70">
        <v>0</v>
      </c>
      <c r="F250" s="11"/>
    </row>
    <row r="251" spans="2:6">
      <c r="B251" s="70">
        <v>1</v>
      </c>
      <c r="F251" s="11"/>
    </row>
    <row r="252" spans="2:6">
      <c r="B252" s="70">
        <v>2</v>
      </c>
      <c r="F252" s="11"/>
    </row>
    <row r="253" spans="2:6">
      <c r="B253" s="70">
        <v>3</v>
      </c>
      <c r="F253" s="11"/>
    </row>
    <row r="254" spans="2:6">
      <c r="B254" s="70">
        <v>4</v>
      </c>
      <c r="F254" s="11"/>
    </row>
    <row r="255" spans="2:6">
      <c r="B255" s="70">
        <v>5</v>
      </c>
      <c r="F255" s="11"/>
    </row>
    <row r="256" spans="2:6">
      <c r="B256" s="70">
        <v>6</v>
      </c>
      <c r="F256" s="11"/>
    </row>
    <row r="257" spans="2:6">
      <c r="B257" s="70">
        <v>7</v>
      </c>
      <c r="F257" s="11"/>
    </row>
    <row r="258" spans="2:6">
      <c r="B258" s="70">
        <v>8</v>
      </c>
      <c r="F258" s="11"/>
    </row>
    <row r="259" spans="2:6">
      <c r="B259" s="70">
        <v>9</v>
      </c>
      <c r="F259" s="11"/>
    </row>
    <row r="260" spans="2:6">
      <c r="B260" s="70">
        <v>10</v>
      </c>
      <c r="F260" s="11"/>
    </row>
    <row r="261" spans="2:6">
      <c r="B261" s="70">
        <v>11</v>
      </c>
      <c r="F261" s="11"/>
    </row>
    <row r="262" spans="2:6">
      <c r="B262" s="70">
        <v>12</v>
      </c>
      <c r="F262" s="11"/>
    </row>
    <row r="263" spans="2:6">
      <c r="B263" s="70">
        <v>13</v>
      </c>
      <c r="F263" s="11"/>
    </row>
    <row r="264" spans="2:6">
      <c r="B264" s="70">
        <v>14</v>
      </c>
      <c r="F264" s="11"/>
    </row>
    <row r="265" spans="2:6">
      <c r="B265" s="70">
        <v>15</v>
      </c>
      <c r="F265" s="11"/>
    </row>
    <row r="266" spans="2:6">
      <c r="B266" s="70">
        <v>16</v>
      </c>
      <c r="F266" s="11"/>
    </row>
    <row r="267" spans="2:6">
      <c r="B267" s="70">
        <v>17</v>
      </c>
      <c r="F267" s="11"/>
    </row>
    <row r="268" spans="2:6">
      <c r="B268" s="70">
        <v>18</v>
      </c>
      <c r="F268" s="11"/>
    </row>
    <row r="269" spans="2:6">
      <c r="B269" s="70">
        <v>19</v>
      </c>
      <c r="F269" s="11"/>
    </row>
    <row r="270" spans="2:6">
      <c r="B270" s="70">
        <v>20</v>
      </c>
      <c r="F270" s="11"/>
    </row>
    <row r="271" spans="2:6">
      <c r="B271" s="70">
        <v>21</v>
      </c>
      <c r="F271" s="11"/>
    </row>
    <row r="272" spans="2:6">
      <c r="B272" s="70">
        <v>22</v>
      </c>
      <c r="F272" s="11"/>
    </row>
    <row r="273" spans="2:6">
      <c r="B273" s="70">
        <v>23</v>
      </c>
      <c r="F273" s="11"/>
    </row>
    <row r="274" spans="2:6" ht="17" thickBot="1">
      <c r="B274" s="86"/>
      <c r="C274" s="87"/>
      <c r="D274" s="87"/>
      <c r="E274" s="92"/>
      <c r="F274" s="90"/>
    </row>
    <row r="275" spans="2:6" ht="17" thickBot="1"/>
    <row r="276" spans="2:6">
      <c r="B276" s="77" t="s">
        <v>21</v>
      </c>
      <c r="C276" s="78" t="s">
        <v>2</v>
      </c>
      <c r="D276" s="78" t="s">
        <v>3</v>
      </c>
      <c r="E276" s="79" t="s">
        <v>4</v>
      </c>
      <c r="F276" s="80" t="s">
        <v>5</v>
      </c>
    </row>
    <row r="277" spans="2:6">
      <c r="B277" s="81"/>
      <c r="F277" s="19"/>
    </row>
    <row r="278" spans="2:6">
      <c r="B278" s="81"/>
      <c r="F278" s="19"/>
    </row>
    <row r="279" spans="2:6">
      <c r="B279" s="81"/>
      <c r="F279" s="19"/>
    </row>
    <row r="280" spans="2:6">
      <c r="B280" s="81"/>
      <c r="F280" s="19"/>
    </row>
    <row r="281" spans="2:6">
      <c r="B281" s="81"/>
      <c r="F281" s="19"/>
    </row>
    <row r="282" spans="2:6">
      <c r="B282" s="81"/>
      <c r="F282" s="19"/>
    </row>
    <row r="283" spans="2:6">
      <c r="B283" s="81"/>
      <c r="F283" s="19"/>
    </row>
    <row r="284" spans="2:6">
      <c r="B284" s="81"/>
      <c r="F284" s="19"/>
    </row>
    <row r="285" spans="2:6">
      <c r="B285" s="81"/>
      <c r="F285" s="19"/>
    </row>
    <row r="286" spans="2:6">
      <c r="B286" s="81"/>
      <c r="F286" s="19"/>
    </row>
    <row r="287" spans="2:6">
      <c r="B287" s="81"/>
      <c r="F287" s="19"/>
    </row>
    <row r="288" spans="2:6">
      <c r="B288" s="81"/>
      <c r="F288" s="19"/>
    </row>
    <row r="289" spans="1:6">
      <c r="B289" s="81"/>
      <c r="F289" s="19"/>
    </row>
    <row r="290" spans="1:6">
      <c r="B290" s="94"/>
      <c r="C290" s="10"/>
      <c r="D290" s="17"/>
      <c r="E290" s="17"/>
      <c r="F290" s="19"/>
    </row>
    <row r="291" spans="1:6">
      <c r="B291" s="94"/>
      <c r="C291" s="10"/>
      <c r="D291" s="17"/>
      <c r="E291" s="17"/>
      <c r="F291" s="19"/>
    </row>
    <row r="292" spans="1:6" ht="17" thickBot="1">
      <c r="B292" s="95"/>
      <c r="C292" s="63"/>
      <c r="D292" s="61"/>
      <c r="E292" s="61"/>
      <c r="F292" s="64"/>
    </row>
    <row r="294" spans="1:6">
      <c r="A294" s="21"/>
      <c r="B294" s="121"/>
      <c r="C294" s="122"/>
      <c r="D294" s="122"/>
      <c r="E294" s="123"/>
      <c r="F294" s="123"/>
    </row>
    <row r="295" spans="1:6">
      <c r="A295" s="21"/>
      <c r="B295" s="121"/>
      <c r="C295" s="122"/>
      <c r="D295" s="122"/>
      <c r="E295" s="123"/>
      <c r="F295" s="123"/>
    </row>
    <row r="296" spans="1:6" ht="17" thickBot="1">
      <c r="A296" s="125" t="s">
        <v>0</v>
      </c>
      <c r="B296" s="93"/>
      <c r="C296" s="3"/>
      <c r="D296" s="3"/>
      <c r="E296" s="2"/>
      <c r="F296" s="2"/>
    </row>
    <row r="297" spans="1:6">
      <c r="B297" s="77" t="s">
        <v>1</v>
      </c>
      <c r="C297" s="79" t="s">
        <v>2</v>
      </c>
      <c r="D297" s="79" t="s">
        <v>3</v>
      </c>
      <c r="E297" s="78" t="s">
        <v>4</v>
      </c>
      <c r="F297" s="80" t="s">
        <v>5</v>
      </c>
    </row>
    <row r="298" spans="1:6">
      <c r="B298" s="70" t="s">
        <v>10</v>
      </c>
      <c r="F298" s="11"/>
    </row>
    <row r="299" spans="1:6">
      <c r="B299" s="70" t="s">
        <v>11</v>
      </c>
      <c r="F299" s="11"/>
    </row>
    <row r="300" spans="1:6">
      <c r="B300" s="70" t="s">
        <v>12</v>
      </c>
      <c r="F300" s="11"/>
    </row>
    <row r="301" spans="1:6">
      <c r="B301" s="70" t="s">
        <v>13</v>
      </c>
      <c r="F301" s="11"/>
    </row>
    <row r="302" spans="1:6">
      <c r="B302" s="70" t="s">
        <v>14</v>
      </c>
      <c r="F302" s="11"/>
    </row>
    <row r="303" spans="1:6">
      <c r="B303" s="70" t="s">
        <v>15</v>
      </c>
      <c r="F303" s="11"/>
    </row>
    <row r="304" spans="1:6">
      <c r="B304" s="70" t="s">
        <v>16</v>
      </c>
      <c r="F304" s="11"/>
    </row>
    <row r="305" spans="2:6" ht="17" thickBot="1">
      <c r="B305" s="86"/>
      <c r="C305" s="87"/>
      <c r="D305" s="88"/>
      <c r="E305" s="89"/>
      <c r="F305" s="90"/>
    </row>
    <row r="307" spans="2:6" ht="17" thickBot="1"/>
    <row r="308" spans="2:6">
      <c r="B308" s="77" t="s">
        <v>17</v>
      </c>
      <c r="C308" s="78" t="s">
        <v>2</v>
      </c>
      <c r="D308" s="79" t="s">
        <v>3</v>
      </c>
      <c r="E308" s="79" t="s">
        <v>4</v>
      </c>
      <c r="F308" s="80" t="s">
        <v>5</v>
      </c>
    </row>
    <row r="309" spans="2:6">
      <c r="B309" s="70">
        <v>0</v>
      </c>
      <c r="F309" s="11"/>
    </row>
    <row r="310" spans="2:6">
      <c r="B310" s="70">
        <v>1</v>
      </c>
      <c r="F310" s="11"/>
    </row>
    <row r="311" spans="2:6">
      <c r="B311" s="70">
        <v>2</v>
      </c>
      <c r="F311" s="11"/>
    </row>
    <row r="312" spans="2:6">
      <c r="B312" s="70">
        <v>3</v>
      </c>
      <c r="F312" s="11"/>
    </row>
    <row r="313" spans="2:6">
      <c r="B313" s="70">
        <v>4</v>
      </c>
      <c r="F313" s="11"/>
    </row>
    <row r="314" spans="2:6">
      <c r="B314" s="70">
        <v>5</v>
      </c>
      <c r="F314" s="11"/>
    </row>
    <row r="315" spans="2:6">
      <c r="B315" s="70">
        <v>6</v>
      </c>
      <c r="F315" s="11"/>
    </row>
    <row r="316" spans="2:6">
      <c r="B316" s="70">
        <v>7</v>
      </c>
      <c r="F316" s="11"/>
    </row>
    <row r="317" spans="2:6">
      <c r="B317" s="70">
        <v>8</v>
      </c>
      <c r="F317" s="11"/>
    </row>
    <row r="318" spans="2:6">
      <c r="B318" s="70">
        <v>9</v>
      </c>
      <c r="F318" s="11"/>
    </row>
    <row r="319" spans="2:6">
      <c r="B319" s="70">
        <v>10</v>
      </c>
      <c r="F319" s="11"/>
    </row>
    <row r="320" spans="2:6">
      <c r="B320" s="70">
        <v>11</v>
      </c>
      <c r="F320" s="11"/>
    </row>
    <row r="321" spans="2:6">
      <c r="B321" s="70">
        <v>12</v>
      </c>
      <c r="F321" s="11"/>
    </row>
    <row r="322" spans="2:6">
      <c r="B322" s="70">
        <v>13</v>
      </c>
      <c r="F322" s="11"/>
    </row>
    <row r="323" spans="2:6">
      <c r="B323" s="70">
        <v>14</v>
      </c>
      <c r="F323" s="11"/>
    </row>
    <row r="324" spans="2:6">
      <c r="B324" s="70">
        <v>15</v>
      </c>
      <c r="F324" s="11"/>
    </row>
    <row r="325" spans="2:6">
      <c r="B325" s="70">
        <v>16</v>
      </c>
      <c r="F325" s="11"/>
    </row>
    <row r="326" spans="2:6">
      <c r="B326" s="70">
        <v>17</v>
      </c>
      <c r="F326" s="11"/>
    </row>
    <row r="327" spans="2:6">
      <c r="B327" s="70">
        <v>18</v>
      </c>
      <c r="F327" s="11"/>
    </row>
    <row r="328" spans="2:6">
      <c r="B328" s="70">
        <v>19</v>
      </c>
      <c r="F328" s="11"/>
    </row>
    <row r="329" spans="2:6">
      <c r="B329" s="70">
        <v>20</v>
      </c>
      <c r="F329" s="11"/>
    </row>
    <row r="330" spans="2:6">
      <c r="B330" s="70">
        <v>21</v>
      </c>
      <c r="F330" s="11"/>
    </row>
    <row r="331" spans="2:6">
      <c r="B331" s="70">
        <v>22</v>
      </c>
      <c r="F331" s="11"/>
    </row>
    <row r="332" spans="2:6">
      <c r="B332" s="70">
        <v>23</v>
      </c>
      <c r="F332" s="11"/>
    </row>
    <row r="333" spans="2:6" ht="17" thickBot="1">
      <c r="B333" s="86"/>
      <c r="C333" s="87"/>
      <c r="D333" s="87"/>
      <c r="E333" s="92"/>
      <c r="F333" s="90"/>
    </row>
    <row r="334" spans="2:6" ht="17" thickBot="1"/>
    <row r="335" spans="2:6">
      <c r="B335" s="77" t="s">
        <v>21</v>
      </c>
      <c r="C335" s="78" t="s">
        <v>2</v>
      </c>
      <c r="D335" s="78" t="s">
        <v>3</v>
      </c>
      <c r="E335" s="79" t="s">
        <v>4</v>
      </c>
      <c r="F335" s="80" t="s">
        <v>5</v>
      </c>
    </row>
    <row r="336" spans="2:6">
      <c r="B336" s="81"/>
      <c r="F336" s="19"/>
    </row>
    <row r="337" spans="2:6">
      <c r="B337" s="81"/>
      <c r="F337" s="19"/>
    </row>
    <row r="338" spans="2:6">
      <c r="B338" s="81"/>
      <c r="F338" s="19"/>
    </row>
    <row r="339" spans="2:6">
      <c r="B339" s="81"/>
      <c r="F339" s="19"/>
    </row>
    <row r="340" spans="2:6">
      <c r="B340" s="81"/>
      <c r="F340" s="19"/>
    </row>
    <row r="341" spans="2:6">
      <c r="B341" s="81"/>
      <c r="F341" s="19"/>
    </row>
    <row r="342" spans="2:6">
      <c r="B342" s="81"/>
      <c r="F342" s="19"/>
    </row>
    <row r="343" spans="2:6">
      <c r="B343" s="81"/>
      <c r="F343" s="19"/>
    </row>
    <row r="344" spans="2:6">
      <c r="B344" s="81"/>
      <c r="F344" s="19"/>
    </row>
    <row r="345" spans="2:6">
      <c r="B345" s="81"/>
      <c r="F345" s="19"/>
    </row>
    <row r="346" spans="2:6">
      <c r="B346" s="81"/>
      <c r="F346" s="19"/>
    </row>
    <row r="347" spans="2:6">
      <c r="B347" s="81"/>
      <c r="F347" s="19"/>
    </row>
    <row r="348" spans="2:6">
      <c r="B348" s="81"/>
      <c r="F348" s="19"/>
    </row>
    <row r="349" spans="2:6">
      <c r="B349" s="94"/>
      <c r="C349" s="10"/>
      <c r="D349" s="17"/>
      <c r="E349" s="17"/>
      <c r="F349" s="19"/>
    </row>
    <row r="350" spans="2:6">
      <c r="B350" s="94"/>
      <c r="C350" s="10"/>
      <c r="D350" s="17"/>
      <c r="E350" s="17"/>
      <c r="F350" s="19"/>
    </row>
    <row r="351" spans="2:6" ht="17" thickBot="1">
      <c r="B351" s="95"/>
      <c r="C351" s="63"/>
      <c r="D351" s="61"/>
      <c r="E351" s="61"/>
      <c r="F351" s="64"/>
    </row>
    <row r="353" spans="1:6">
      <c r="A353" s="21"/>
      <c r="B353" s="121"/>
      <c r="C353" s="122"/>
      <c r="D353" s="122"/>
      <c r="E353" s="123"/>
      <c r="F353" s="123"/>
    </row>
    <row r="354" spans="1:6">
      <c r="A354" s="21"/>
      <c r="B354" s="121"/>
      <c r="C354" s="122"/>
      <c r="D354" s="122"/>
      <c r="E354" s="123"/>
      <c r="F354" s="123"/>
    </row>
    <row r="355" spans="1:6" ht="17" thickBot="1">
      <c r="A355" s="125" t="s">
        <v>0</v>
      </c>
      <c r="B355" s="93"/>
      <c r="C355" s="3"/>
      <c r="D355" s="3"/>
      <c r="E355" s="2"/>
      <c r="F355" s="2"/>
    </row>
    <row r="356" spans="1:6">
      <c r="B356" s="77" t="s">
        <v>1</v>
      </c>
      <c r="C356" s="79" t="s">
        <v>2</v>
      </c>
      <c r="D356" s="79" t="s">
        <v>3</v>
      </c>
      <c r="E356" s="78" t="s">
        <v>4</v>
      </c>
      <c r="F356" s="80" t="s">
        <v>5</v>
      </c>
    </row>
    <row r="357" spans="1:6">
      <c r="B357" s="70" t="s">
        <v>10</v>
      </c>
      <c r="F357" s="11"/>
    </row>
    <row r="358" spans="1:6">
      <c r="B358" s="70" t="s">
        <v>11</v>
      </c>
      <c r="F358" s="11"/>
    </row>
    <row r="359" spans="1:6">
      <c r="B359" s="70" t="s">
        <v>12</v>
      </c>
      <c r="F359" s="11"/>
    </row>
    <row r="360" spans="1:6">
      <c r="B360" s="70" t="s">
        <v>13</v>
      </c>
      <c r="F360" s="11"/>
    </row>
    <row r="361" spans="1:6">
      <c r="B361" s="70" t="s">
        <v>14</v>
      </c>
      <c r="F361" s="11"/>
    </row>
    <row r="362" spans="1:6">
      <c r="B362" s="70" t="s">
        <v>15</v>
      </c>
      <c r="F362" s="11"/>
    </row>
    <row r="363" spans="1:6">
      <c r="B363" s="70" t="s">
        <v>16</v>
      </c>
      <c r="F363" s="11"/>
    </row>
    <row r="364" spans="1:6" ht="17" thickBot="1">
      <c r="B364" s="86"/>
      <c r="C364" s="87"/>
      <c r="D364" s="88"/>
      <c r="E364" s="89"/>
      <c r="F364" s="90"/>
    </row>
    <row r="366" spans="1:6" ht="17" thickBot="1"/>
    <row r="367" spans="1:6">
      <c r="B367" s="77" t="s">
        <v>17</v>
      </c>
      <c r="C367" s="78" t="s">
        <v>2</v>
      </c>
      <c r="D367" s="79" t="s">
        <v>3</v>
      </c>
      <c r="E367" s="79" t="s">
        <v>4</v>
      </c>
      <c r="F367" s="80" t="s">
        <v>5</v>
      </c>
    </row>
    <row r="368" spans="1:6">
      <c r="B368" s="70">
        <v>0</v>
      </c>
      <c r="F368" s="11"/>
    </row>
    <row r="369" spans="2:6">
      <c r="B369" s="70">
        <v>1</v>
      </c>
      <c r="F369" s="11"/>
    </row>
    <row r="370" spans="2:6">
      <c r="B370" s="70">
        <v>2</v>
      </c>
      <c r="F370" s="11"/>
    </row>
    <row r="371" spans="2:6">
      <c r="B371" s="70">
        <v>3</v>
      </c>
      <c r="F371" s="11"/>
    </row>
    <row r="372" spans="2:6">
      <c r="B372" s="70">
        <v>4</v>
      </c>
      <c r="F372" s="11"/>
    </row>
    <row r="373" spans="2:6">
      <c r="B373" s="70">
        <v>5</v>
      </c>
      <c r="F373" s="11"/>
    </row>
    <row r="374" spans="2:6">
      <c r="B374" s="70">
        <v>6</v>
      </c>
      <c r="F374" s="11"/>
    </row>
    <row r="375" spans="2:6">
      <c r="B375" s="70">
        <v>7</v>
      </c>
      <c r="F375" s="11"/>
    </row>
    <row r="376" spans="2:6">
      <c r="B376" s="70">
        <v>8</v>
      </c>
      <c r="F376" s="11"/>
    </row>
    <row r="377" spans="2:6">
      <c r="B377" s="70">
        <v>9</v>
      </c>
      <c r="F377" s="11"/>
    </row>
    <row r="378" spans="2:6">
      <c r="B378" s="70">
        <v>10</v>
      </c>
      <c r="F378" s="11"/>
    </row>
    <row r="379" spans="2:6">
      <c r="B379" s="70">
        <v>11</v>
      </c>
      <c r="F379" s="11"/>
    </row>
    <row r="380" spans="2:6">
      <c r="B380" s="70">
        <v>12</v>
      </c>
      <c r="F380" s="11"/>
    </row>
    <row r="381" spans="2:6">
      <c r="B381" s="70">
        <v>13</v>
      </c>
      <c r="F381" s="11"/>
    </row>
    <row r="382" spans="2:6">
      <c r="B382" s="70">
        <v>14</v>
      </c>
      <c r="F382" s="11"/>
    </row>
    <row r="383" spans="2:6">
      <c r="B383" s="70">
        <v>15</v>
      </c>
      <c r="F383" s="11"/>
    </row>
    <row r="384" spans="2:6">
      <c r="B384" s="70">
        <v>16</v>
      </c>
      <c r="F384" s="11"/>
    </row>
    <row r="385" spans="2:6">
      <c r="B385" s="70">
        <v>17</v>
      </c>
      <c r="F385" s="11"/>
    </row>
    <row r="386" spans="2:6">
      <c r="B386" s="70">
        <v>18</v>
      </c>
      <c r="F386" s="11"/>
    </row>
    <row r="387" spans="2:6">
      <c r="B387" s="70">
        <v>19</v>
      </c>
      <c r="F387" s="11"/>
    </row>
    <row r="388" spans="2:6">
      <c r="B388" s="70">
        <v>20</v>
      </c>
      <c r="F388" s="11"/>
    </row>
    <row r="389" spans="2:6">
      <c r="B389" s="70">
        <v>21</v>
      </c>
      <c r="F389" s="11"/>
    </row>
    <row r="390" spans="2:6">
      <c r="B390" s="70">
        <v>22</v>
      </c>
      <c r="F390" s="11"/>
    </row>
    <row r="391" spans="2:6">
      <c r="B391" s="70">
        <v>23</v>
      </c>
      <c r="F391" s="11"/>
    </row>
    <row r="392" spans="2:6" ht="17" thickBot="1">
      <c r="B392" s="86"/>
      <c r="C392" s="87"/>
      <c r="D392" s="87"/>
      <c r="E392" s="92"/>
      <c r="F392" s="90"/>
    </row>
    <row r="393" spans="2:6" ht="17" thickBot="1"/>
    <row r="394" spans="2:6">
      <c r="B394" s="77" t="s">
        <v>21</v>
      </c>
      <c r="C394" s="78" t="s">
        <v>2</v>
      </c>
      <c r="D394" s="78" t="s">
        <v>3</v>
      </c>
      <c r="E394" s="79" t="s">
        <v>4</v>
      </c>
      <c r="F394" s="80" t="s">
        <v>5</v>
      </c>
    </row>
    <row r="395" spans="2:6">
      <c r="B395" s="81"/>
      <c r="C395" s="20"/>
      <c r="D395" s="17"/>
      <c r="E395" s="17"/>
      <c r="F395" s="19"/>
    </row>
    <row r="396" spans="2:6">
      <c r="B396" s="81"/>
      <c r="C396" s="20"/>
      <c r="D396" s="17"/>
      <c r="E396" s="17"/>
      <c r="F396" s="19"/>
    </row>
    <row r="397" spans="2:6">
      <c r="B397" s="81"/>
      <c r="C397" s="20"/>
      <c r="D397" s="17"/>
      <c r="E397" s="17"/>
      <c r="F397" s="19"/>
    </row>
    <row r="398" spans="2:6">
      <c r="B398" s="81"/>
      <c r="C398" s="20"/>
      <c r="D398" s="17"/>
      <c r="E398" s="17"/>
      <c r="F398" s="19"/>
    </row>
    <row r="399" spans="2:6">
      <c r="B399" s="81"/>
      <c r="C399" s="20"/>
      <c r="D399" s="17"/>
      <c r="E399" s="17"/>
      <c r="F399" s="19"/>
    </row>
    <row r="400" spans="2:6">
      <c r="B400" s="81"/>
      <c r="C400" s="20"/>
      <c r="D400" s="17"/>
      <c r="E400" s="17"/>
      <c r="F400" s="19"/>
    </row>
    <row r="401" spans="1:6">
      <c r="B401" s="81"/>
      <c r="C401" s="20"/>
      <c r="D401" s="17"/>
      <c r="E401" s="17"/>
      <c r="F401" s="19"/>
    </row>
    <row r="402" spans="1:6">
      <c r="B402" s="81"/>
      <c r="C402" s="20"/>
      <c r="D402" s="17"/>
      <c r="E402" s="17"/>
      <c r="F402" s="19"/>
    </row>
    <row r="403" spans="1:6">
      <c r="B403" s="81"/>
      <c r="C403" s="20"/>
      <c r="D403" s="17"/>
      <c r="E403" s="17"/>
      <c r="F403" s="19"/>
    </row>
    <row r="404" spans="1:6">
      <c r="B404" s="81"/>
      <c r="C404" s="20"/>
      <c r="D404" s="17"/>
      <c r="E404" s="17"/>
      <c r="F404" s="19"/>
    </row>
    <row r="405" spans="1:6">
      <c r="B405" s="81"/>
      <c r="C405" s="20"/>
      <c r="D405" s="17"/>
      <c r="E405" s="17"/>
      <c r="F405" s="19"/>
    </row>
    <row r="406" spans="1:6">
      <c r="B406" s="81"/>
      <c r="C406" s="20"/>
      <c r="D406" s="17"/>
      <c r="E406" s="17"/>
      <c r="F406" s="19"/>
    </row>
    <row r="407" spans="1:6">
      <c r="B407" s="81"/>
      <c r="C407" s="20"/>
      <c r="D407" s="17"/>
      <c r="E407" s="17"/>
      <c r="F407" s="19"/>
    </row>
    <row r="408" spans="1:6">
      <c r="B408" s="94"/>
      <c r="C408" s="10"/>
      <c r="D408" s="17"/>
      <c r="E408" s="17"/>
      <c r="F408" s="19"/>
    </row>
    <row r="409" spans="1:6">
      <c r="B409" s="94"/>
      <c r="C409" s="10"/>
      <c r="D409" s="17"/>
      <c r="E409" s="17"/>
      <c r="F409" s="19"/>
    </row>
    <row r="410" spans="1:6" ht="17" thickBot="1">
      <c r="B410" s="95"/>
      <c r="C410" s="63"/>
      <c r="D410" s="61"/>
      <c r="E410" s="61"/>
      <c r="F410" s="64"/>
    </row>
    <row r="412" spans="1:6">
      <c r="A412" s="21"/>
      <c r="B412" s="121"/>
      <c r="C412" s="122"/>
      <c r="D412" s="122"/>
      <c r="E412" s="123"/>
      <c r="F412" s="123"/>
    </row>
    <row r="413" spans="1:6">
      <c r="A413" s="21"/>
      <c r="B413" s="121"/>
      <c r="C413" s="122"/>
      <c r="D413" s="122"/>
      <c r="E413" s="123"/>
      <c r="F413" s="123"/>
    </row>
    <row r="414" spans="1:6" ht="17" thickBot="1">
      <c r="A414" s="125" t="s">
        <v>0</v>
      </c>
      <c r="B414" s="93"/>
      <c r="C414" s="3"/>
      <c r="D414" s="3"/>
      <c r="E414" s="2"/>
      <c r="F414" s="2"/>
    </row>
    <row r="415" spans="1:6">
      <c r="B415" s="77" t="s">
        <v>1</v>
      </c>
      <c r="C415" s="79" t="s">
        <v>2</v>
      </c>
      <c r="D415" s="79" t="s">
        <v>3</v>
      </c>
      <c r="E415" s="78" t="s">
        <v>4</v>
      </c>
      <c r="F415" s="80" t="s">
        <v>5</v>
      </c>
    </row>
    <row r="416" spans="1:6">
      <c r="B416" s="70" t="s">
        <v>10</v>
      </c>
      <c r="F416" s="11"/>
    </row>
    <row r="417" spans="2:6">
      <c r="B417" s="70" t="s">
        <v>11</v>
      </c>
      <c r="F417" s="11"/>
    </row>
    <row r="418" spans="2:6">
      <c r="B418" s="70" t="s">
        <v>12</v>
      </c>
      <c r="F418" s="11"/>
    </row>
    <row r="419" spans="2:6">
      <c r="B419" s="70" t="s">
        <v>13</v>
      </c>
      <c r="F419" s="11"/>
    </row>
    <row r="420" spans="2:6">
      <c r="B420" s="70" t="s">
        <v>14</v>
      </c>
      <c r="F420" s="11"/>
    </row>
    <row r="421" spans="2:6">
      <c r="B421" s="70" t="s">
        <v>15</v>
      </c>
      <c r="F421" s="11"/>
    </row>
    <row r="422" spans="2:6">
      <c r="B422" s="70" t="s">
        <v>16</v>
      </c>
      <c r="F422" s="11"/>
    </row>
    <row r="423" spans="2:6" ht="17" thickBot="1">
      <c r="B423" s="86"/>
      <c r="C423" s="87"/>
      <c r="D423" s="88"/>
      <c r="E423" s="89"/>
      <c r="F423" s="90"/>
    </row>
    <row r="425" spans="2:6" ht="17" thickBot="1"/>
    <row r="426" spans="2:6">
      <c r="B426" s="77" t="s">
        <v>17</v>
      </c>
      <c r="C426" s="78" t="s">
        <v>2</v>
      </c>
      <c r="D426" s="79" t="s">
        <v>3</v>
      </c>
      <c r="E426" s="79" t="s">
        <v>4</v>
      </c>
      <c r="F426" s="80" t="s">
        <v>5</v>
      </c>
    </row>
    <row r="427" spans="2:6">
      <c r="B427" s="70">
        <v>0</v>
      </c>
      <c r="F427" s="11"/>
    </row>
    <row r="428" spans="2:6">
      <c r="B428" s="70">
        <v>1</v>
      </c>
      <c r="F428" s="11"/>
    </row>
    <row r="429" spans="2:6">
      <c r="B429" s="70">
        <v>2</v>
      </c>
      <c r="F429" s="11"/>
    </row>
    <row r="430" spans="2:6">
      <c r="B430" s="70">
        <v>3</v>
      </c>
      <c r="F430" s="11"/>
    </row>
    <row r="431" spans="2:6">
      <c r="B431" s="70">
        <v>4</v>
      </c>
      <c r="F431" s="11"/>
    </row>
    <row r="432" spans="2:6">
      <c r="B432" s="70">
        <v>5</v>
      </c>
      <c r="F432" s="11"/>
    </row>
    <row r="433" spans="2:6">
      <c r="B433" s="70">
        <v>6</v>
      </c>
      <c r="F433" s="11"/>
    </row>
    <row r="434" spans="2:6">
      <c r="B434" s="70">
        <v>7</v>
      </c>
      <c r="F434" s="11"/>
    </row>
    <row r="435" spans="2:6">
      <c r="B435" s="70">
        <v>8</v>
      </c>
      <c r="F435" s="11"/>
    </row>
    <row r="436" spans="2:6">
      <c r="B436" s="70">
        <v>9</v>
      </c>
      <c r="F436" s="11"/>
    </row>
    <row r="437" spans="2:6">
      <c r="B437" s="70">
        <v>10</v>
      </c>
      <c r="F437" s="11"/>
    </row>
    <row r="438" spans="2:6">
      <c r="B438" s="70">
        <v>11</v>
      </c>
      <c r="F438" s="11"/>
    </row>
    <row r="439" spans="2:6">
      <c r="B439" s="70">
        <v>12</v>
      </c>
      <c r="F439" s="11"/>
    </row>
    <row r="440" spans="2:6">
      <c r="B440" s="70">
        <v>13</v>
      </c>
      <c r="F440" s="11"/>
    </row>
    <row r="441" spans="2:6">
      <c r="B441" s="70">
        <v>14</v>
      </c>
      <c r="F441" s="11"/>
    </row>
    <row r="442" spans="2:6">
      <c r="B442" s="70">
        <v>15</v>
      </c>
      <c r="F442" s="11"/>
    </row>
    <row r="443" spans="2:6">
      <c r="B443" s="70">
        <v>16</v>
      </c>
      <c r="F443" s="11"/>
    </row>
    <row r="444" spans="2:6">
      <c r="B444" s="70">
        <v>17</v>
      </c>
      <c r="F444" s="11"/>
    </row>
    <row r="445" spans="2:6">
      <c r="B445" s="70">
        <v>18</v>
      </c>
      <c r="F445" s="11"/>
    </row>
    <row r="446" spans="2:6">
      <c r="B446" s="70">
        <v>19</v>
      </c>
      <c r="F446" s="11"/>
    </row>
    <row r="447" spans="2:6">
      <c r="B447" s="70">
        <v>20</v>
      </c>
      <c r="F447" s="11"/>
    </row>
    <row r="448" spans="2:6">
      <c r="B448" s="70">
        <v>21</v>
      </c>
      <c r="F448" s="11"/>
    </row>
    <row r="449" spans="2:6">
      <c r="B449" s="70">
        <v>22</v>
      </c>
      <c r="F449" s="11"/>
    </row>
    <row r="450" spans="2:6">
      <c r="B450" s="70">
        <v>23</v>
      </c>
      <c r="F450" s="11"/>
    </row>
    <row r="451" spans="2:6" ht="17" thickBot="1">
      <c r="B451" s="86"/>
      <c r="C451" s="87"/>
      <c r="D451" s="87"/>
      <c r="E451" s="92"/>
      <c r="F451" s="90"/>
    </row>
    <row r="452" spans="2:6" ht="17" thickBot="1"/>
    <row r="453" spans="2:6">
      <c r="B453" s="77" t="s">
        <v>21</v>
      </c>
      <c r="C453" s="78" t="s">
        <v>2</v>
      </c>
      <c r="D453" s="78" t="s">
        <v>3</v>
      </c>
      <c r="E453" s="79" t="s">
        <v>4</v>
      </c>
      <c r="F453" s="80" t="s">
        <v>5</v>
      </c>
    </row>
    <row r="454" spans="2:6">
      <c r="B454" s="81"/>
      <c r="C454" s="20"/>
      <c r="D454" s="17"/>
      <c r="E454" s="17"/>
      <c r="F454" s="19"/>
    </row>
    <row r="455" spans="2:6">
      <c r="B455" s="81"/>
      <c r="C455" s="20"/>
      <c r="D455" s="17"/>
      <c r="E455" s="17"/>
      <c r="F455" s="19"/>
    </row>
    <row r="456" spans="2:6">
      <c r="B456" s="81"/>
      <c r="C456" s="20"/>
      <c r="D456" s="17"/>
      <c r="E456" s="17"/>
      <c r="F456" s="19"/>
    </row>
    <row r="457" spans="2:6">
      <c r="B457" s="81"/>
      <c r="C457" s="20"/>
      <c r="D457" s="17"/>
      <c r="E457" s="17"/>
      <c r="F457" s="19"/>
    </row>
    <row r="458" spans="2:6">
      <c r="B458" s="81"/>
      <c r="C458" s="20"/>
      <c r="D458" s="17"/>
      <c r="E458" s="17"/>
      <c r="F458" s="19"/>
    </row>
    <row r="459" spans="2:6">
      <c r="B459" s="81"/>
      <c r="C459" s="20"/>
      <c r="D459" s="17"/>
      <c r="E459" s="17"/>
      <c r="F459" s="19"/>
    </row>
    <row r="460" spans="2:6">
      <c r="B460" s="81"/>
      <c r="C460" s="20"/>
      <c r="D460" s="17"/>
      <c r="E460" s="17"/>
      <c r="F460" s="19"/>
    </row>
    <row r="461" spans="2:6">
      <c r="B461" s="81"/>
      <c r="C461" s="20"/>
      <c r="D461" s="17"/>
      <c r="E461" s="17"/>
      <c r="F461" s="19"/>
    </row>
    <row r="462" spans="2:6">
      <c r="B462" s="81"/>
      <c r="C462" s="20"/>
      <c r="D462" s="17"/>
      <c r="E462" s="17"/>
      <c r="F462" s="19"/>
    </row>
    <row r="463" spans="2:6">
      <c r="B463" s="81"/>
      <c r="C463" s="20"/>
      <c r="D463" s="17"/>
      <c r="E463" s="17"/>
      <c r="F463" s="19"/>
    </row>
    <row r="464" spans="2:6">
      <c r="B464" s="81"/>
      <c r="C464" s="20"/>
      <c r="D464" s="17"/>
      <c r="E464" s="17"/>
      <c r="F464" s="19"/>
    </row>
    <row r="465" spans="2:6">
      <c r="B465" s="81"/>
      <c r="C465" s="20"/>
      <c r="D465" s="17"/>
      <c r="E465" s="17"/>
      <c r="F465" s="19"/>
    </row>
    <row r="466" spans="2:6">
      <c r="B466" s="81"/>
      <c r="C466" s="20"/>
      <c r="D466" s="17"/>
      <c r="E466" s="17"/>
      <c r="F466" s="19"/>
    </row>
    <row r="467" spans="2:6">
      <c r="B467" s="94"/>
      <c r="C467" s="71"/>
      <c r="D467" s="58"/>
      <c r="E467" s="58"/>
      <c r="F467" s="19"/>
    </row>
    <row r="468" spans="2:6">
      <c r="B468" s="94"/>
      <c r="C468" s="71"/>
      <c r="D468" s="58"/>
      <c r="E468" s="58"/>
      <c r="F468" s="19"/>
    </row>
    <row r="469" spans="2:6" ht="17" thickBot="1">
      <c r="B469" s="95"/>
      <c r="C469" s="63"/>
      <c r="D469" s="61"/>
      <c r="E469" s="61"/>
      <c r="F469" s="64"/>
    </row>
  </sheetData>
  <phoneticPr fontId="18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 macro="[0]!CheckBox_Click">
                <anchor moveWithCells="1">
                  <from>
                    <xdr:col>40</xdr:col>
                    <xdr:colOff>63500</xdr:colOff>
                    <xdr:row>2</xdr:row>
                    <xdr:rowOff>12700</xdr:rowOff>
                  </from>
                  <to>
                    <xdr:col>41</xdr:col>
                    <xdr:colOff>749300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[0]!CheckBox_Click">
                <anchor moveWithCells="1">
                  <from>
                    <xdr:col>40</xdr:col>
                    <xdr:colOff>63500</xdr:colOff>
                    <xdr:row>3</xdr:row>
                    <xdr:rowOff>12700</xdr:rowOff>
                  </from>
                  <to>
                    <xdr:col>41</xdr:col>
                    <xdr:colOff>749300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eckBox_Click">
                <anchor moveWithCells="1">
                  <from>
                    <xdr:col>40</xdr:col>
                    <xdr:colOff>63500</xdr:colOff>
                    <xdr:row>4</xdr:row>
                    <xdr:rowOff>25400</xdr:rowOff>
                  </from>
                  <to>
                    <xdr:col>41</xdr:col>
                    <xdr:colOff>749300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eckBox_Click">
                <anchor moveWithCells="1">
                  <from>
                    <xdr:col>40</xdr:col>
                    <xdr:colOff>63500</xdr:colOff>
                    <xdr:row>5</xdr:row>
                    <xdr:rowOff>25400</xdr:rowOff>
                  </from>
                  <to>
                    <xdr:col>41</xdr:col>
                    <xdr:colOff>749300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[0]!CheckBox_Click">
                <anchor moveWithCells="1">
                  <from>
                    <xdr:col>40</xdr:col>
                    <xdr:colOff>38100</xdr:colOff>
                    <xdr:row>6</xdr:row>
                    <xdr:rowOff>25400</xdr:rowOff>
                  </from>
                  <to>
                    <xdr:col>41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macro="[0]!CheckBox_Click">
                <anchor moveWithCells="1">
                  <from>
                    <xdr:col>40</xdr:col>
                    <xdr:colOff>50800</xdr:colOff>
                    <xdr:row>7</xdr:row>
                    <xdr:rowOff>12700</xdr:rowOff>
                  </from>
                  <to>
                    <xdr:col>41</xdr:col>
                    <xdr:colOff>749300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 macro="[0]!CheckBox_Click">
                <anchor moveWithCells="1">
                  <from>
                    <xdr:col>40</xdr:col>
                    <xdr:colOff>38100</xdr:colOff>
                    <xdr:row>9</xdr:row>
                    <xdr:rowOff>12700</xdr:rowOff>
                  </from>
                  <to>
                    <xdr:col>41</xdr:col>
                    <xdr:colOff>736600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7">
              <controlPr defaultSize="0" autoFill="0" autoLine="0" autoPict="0" macro="[0]!CheckBox_Click">
                <anchor moveWithCells="1">
                  <from>
                    <xdr:col>40</xdr:col>
                    <xdr:colOff>50800</xdr:colOff>
                    <xdr:row>8</xdr:row>
                    <xdr:rowOff>0</xdr:rowOff>
                  </from>
                  <to>
                    <xdr:col>41</xdr:col>
                    <xdr:colOff>736600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All Box">
              <controlPr defaultSize="0" autoFill="0" autoLine="0" autoPict="0" macro="[0]!AllBox_Click">
                <anchor moveWithCells="1">
                  <from>
                    <xdr:col>40</xdr:col>
                    <xdr:colOff>63500</xdr:colOff>
                    <xdr:row>1</xdr:row>
                    <xdr:rowOff>12700</xdr:rowOff>
                  </from>
                  <to>
                    <xdr:col>41</xdr:col>
                    <xdr:colOff>749300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Level2">
                <anchor moveWithCells="1" sizeWithCells="1">
                  <from>
                    <xdr:col>38</xdr:col>
                    <xdr:colOff>177800</xdr:colOff>
                    <xdr:row>10</xdr:row>
                    <xdr:rowOff>152400</xdr:rowOff>
                  </from>
                  <to>
                    <xdr:col>40</xdr:col>
                    <xdr:colOff>38100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7C9F-1274-9446-B3D0-C38C5AF5C9AA}">
  <sheetPr codeName="Sheet5">
    <tabColor rgb="FFC00000"/>
  </sheetPr>
  <dimension ref="A1:AV37"/>
  <sheetViews>
    <sheetView showGridLines="0" topLeftCell="AM1" zoomScaleNormal="100" workbookViewId="0">
      <selection activeCell="H1" sqref="H1:H1048576"/>
    </sheetView>
  </sheetViews>
  <sheetFormatPr baseColWidth="10" defaultColWidth="11" defaultRowHeight="16"/>
  <cols>
    <col min="1" max="1" width="4" customWidth="1"/>
    <col min="2" max="2" width="10.1640625" customWidth="1"/>
    <col min="3" max="3" width="13" bestFit="1" customWidth="1"/>
    <col min="4" max="4" width="9.5" bestFit="1" customWidth="1"/>
    <col min="5" max="5" width="9.5" customWidth="1"/>
    <col min="6" max="6" width="10.5" bestFit="1" customWidth="1"/>
    <col min="8" max="8" width="4.1640625" customWidth="1"/>
    <col min="9" max="15" width="0" hidden="1" customWidth="1"/>
    <col min="16" max="16" width="10.83203125" hidden="1" customWidth="1"/>
    <col min="17" max="17" width="15" hidden="1" customWidth="1"/>
    <col min="18" max="18" width="17.5" hidden="1" customWidth="1"/>
    <col min="19" max="19" width="12" hidden="1" customWidth="1"/>
    <col min="20" max="20" width="14" hidden="1" customWidth="1"/>
    <col min="21" max="21" width="8.5" hidden="1" customWidth="1"/>
    <col min="22" max="22" width="13.83203125" hidden="1" customWidth="1"/>
    <col min="23" max="23" width="2.33203125" customWidth="1"/>
    <col min="24" max="24" width="9.33203125" customWidth="1"/>
    <col min="25" max="25" width="4.1640625" customWidth="1"/>
    <col min="26" max="26" width="1" customWidth="1"/>
    <col min="34" max="34" width="12.33203125" customWidth="1"/>
    <col min="35" max="35" width="18" customWidth="1"/>
    <col min="36" max="36" width="5.33203125" customWidth="1"/>
    <col min="37" max="37" width="7.6640625" bestFit="1" customWidth="1"/>
    <col min="38" max="38" width="2.6640625" customWidth="1"/>
  </cols>
  <sheetData>
    <row r="1" spans="1:48">
      <c r="B1" s="97" t="s">
        <v>25</v>
      </c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</row>
    <row r="2" spans="1:48">
      <c r="B2" s="128" t="s">
        <v>26</v>
      </c>
      <c r="AM2" s="128" t="s">
        <v>27</v>
      </c>
    </row>
    <row r="3" spans="1:48"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S3" s="60"/>
      <c r="U3" t="s">
        <v>28</v>
      </c>
      <c r="V3">
        <v>1</v>
      </c>
      <c r="Y3" s="107"/>
      <c r="Z3" s="99"/>
      <c r="AA3" s="115">
        <f t="shared" ref="AA3:AH3" si="0">B3</f>
        <v>0</v>
      </c>
      <c r="AB3" s="115">
        <f t="shared" si="0"/>
        <v>0</v>
      </c>
      <c r="AC3" s="115">
        <f t="shared" si="0"/>
        <v>0</v>
      </c>
      <c r="AD3" s="115">
        <f t="shared" si="0"/>
        <v>0</v>
      </c>
      <c r="AE3" s="115">
        <f t="shared" si="0"/>
        <v>0</v>
      </c>
      <c r="AF3" s="115">
        <f t="shared" si="0"/>
        <v>0</v>
      </c>
      <c r="AG3" s="115">
        <f t="shared" si="0"/>
        <v>0</v>
      </c>
      <c r="AH3" s="115">
        <f t="shared" si="0"/>
        <v>0</v>
      </c>
      <c r="AI3" s="60" t="s">
        <v>29</v>
      </c>
      <c r="AJ3" s="60"/>
      <c r="AL3" s="106"/>
      <c r="AM3" s="126" t="s">
        <v>30</v>
      </c>
    </row>
    <row r="4" spans="1:48" s="101" customFormat="1" ht="6" customHeight="1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Y4" s="107"/>
      <c r="Z4" s="102"/>
      <c r="AA4" s="103"/>
      <c r="AB4" s="103"/>
      <c r="AC4" s="103"/>
      <c r="AD4" s="103"/>
      <c r="AE4" s="103"/>
      <c r="AF4" s="103"/>
      <c r="AG4" s="103"/>
    </row>
    <row r="5" spans="1:48">
      <c r="A5" s="107">
        <v>0</v>
      </c>
      <c r="C5" s="104"/>
      <c r="U5" t="s">
        <v>31</v>
      </c>
      <c r="V5">
        <v>2</v>
      </c>
      <c r="Y5" s="118">
        <v>0</v>
      </c>
      <c r="Z5" s="99"/>
      <c r="AA5" s="65" t="e">
        <f t="shared" ref="AA5:AH5" si="1">VLOOKUP(B5,$U$3:$V$8,2,FALSE)</f>
        <v>#N/A</v>
      </c>
      <c r="AB5" s="65" t="e">
        <f t="shared" si="1"/>
        <v>#N/A</v>
      </c>
      <c r="AC5" s="65" t="e">
        <f t="shared" si="1"/>
        <v>#N/A</v>
      </c>
      <c r="AD5" s="65" t="e">
        <f t="shared" si="1"/>
        <v>#N/A</v>
      </c>
      <c r="AE5" s="65" t="e">
        <f t="shared" si="1"/>
        <v>#N/A</v>
      </c>
      <c r="AF5" s="65" t="e">
        <f t="shared" si="1"/>
        <v>#N/A</v>
      </c>
      <c r="AG5" s="65" t="e">
        <f t="shared" si="1"/>
        <v>#N/A</v>
      </c>
      <c r="AH5" s="65" t="e">
        <f t="shared" si="1"/>
        <v>#N/A</v>
      </c>
      <c r="AI5" s="107" t="e">
        <f>SUM(AA5:AH5)</f>
        <v>#N/A</v>
      </c>
      <c r="AJ5" s="111"/>
      <c r="AK5" s="112"/>
      <c r="AM5" t="s">
        <v>32</v>
      </c>
      <c r="AN5" t="s">
        <v>33</v>
      </c>
      <c r="AO5" t="s">
        <v>34</v>
      </c>
      <c r="AP5" t="s">
        <v>35</v>
      </c>
      <c r="AQ5" t="s">
        <v>36</v>
      </c>
      <c r="AR5" t="s">
        <v>37</v>
      </c>
      <c r="AS5" t="s">
        <v>38</v>
      </c>
      <c r="AT5" t="s">
        <v>39</v>
      </c>
      <c r="AU5" t="s">
        <v>40</v>
      </c>
      <c r="AV5" t="s">
        <v>41</v>
      </c>
    </row>
    <row r="6" spans="1:48">
      <c r="A6" s="107">
        <v>1</v>
      </c>
      <c r="C6" s="104"/>
      <c r="U6" t="s">
        <v>42</v>
      </c>
      <c r="V6">
        <v>3</v>
      </c>
      <c r="Y6" s="118">
        <v>1</v>
      </c>
      <c r="Z6" s="99"/>
      <c r="AA6" s="65" t="e">
        <f t="shared" ref="AA6:AA28" si="2">VLOOKUP(B6,$U$3:$V$8,2,FALSE)</f>
        <v>#N/A</v>
      </c>
      <c r="AB6" s="65" t="e">
        <f t="shared" ref="AB6:AB28" si="3">VLOOKUP(C6,$U$3:$V$8,2,FALSE)</f>
        <v>#N/A</v>
      </c>
      <c r="AC6" s="65" t="e">
        <f t="shared" ref="AC6:AC28" si="4">VLOOKUP(D6,$U$3:$V$8,2,FALSE)</f>
        <v>#N/A</v>
      </c>
      <c r="AD6" s="65" t="e">
        <f t="shared" ref="AD6:AD28" si="5">VLOOKUP(E6,$U$3:$V$8,2,FALSE)</f>
        <v>#N/A</v>
      </c>
      <c r="AE6" s="65" t="e">
        <f t="shared" ref="AE6:AE28" si="6">VLOOKUP(F6,$U$3:$V$8,2,FALSE)</f>
        <v>#N/A</v>
      </c>
      <c r="AF6" s="65" t="e">
        <f t="shared" ref="AF6:AF28" si="7">VLOOKUP(G6,$U$3:$V$8,2,FALSE)</f>
        <v>#N/A</v>
      </c>
      <c r="AG6" s="65" t="e">
        <f t="shared" ref="AG6:AG28" si="8">VLOOKUP(H6,$U$3:$V$8,2,FALSE)</f>
        <v>#N/A</v>
      </c>
      <c r="AH6" s="65" t="e">
        <f t="shared" ref="AH6:AH28" si="9">VLOOKUP(I6,$U$3:$V$8,2,FALSE)</f>
        <v>#N/A</v>
      </c>
      <c r="AI6" s="107" t="e">
        <f t="shared" ref="AI6:AI28" si="10">SUM(AA6:AH6)</f>
        <v>#N/A</v>
      </c>
      <c r="AK6" s="112"/>
      <c r="AM6">
        <v>0</v>
      </c>
      <c r="AN6" s="127"/>
      <c r="AO6" s="127"/>
      <c r="AP6" s="127"/>
      <c r="AQ6" s="117">
        <f>IFERROR(AO6/AP6,0)</f>
        <v>0</v>
      </c>
      <c r="AR6" s="117">
        <f>((AN6*AP6))/3600/48</f>
        <v>0</v>
      </c>
      <c r="AS6">
        <f>IF(AR6&lt;0.25,1,IF(AR6&lt;0.5,2,IF(AR6&lt;0.75,3,IF(AR6&lt;1,4,IF(AR6&gt;1,5)))))</f>
        <v>1</v>
      </c>
      <c r="AT6">
        <f>IF(AQ6&lt;0.05,1, IF(AQ6&lt;0.1,2,IF(AQ6&lt;0.15,3,IF(AQ6&lt;0.5,4,IF(AQ6&gt;=0.5,5)))))</f>
        <v>1</v>
      </c>
      <c r="AU6">
        <f>AS6+AT6</f>
        <v>2</v>
      </c>
      <c r="AV6" t="str">
        <f>IF(AU6&lt;3,"COMFORTABLE",IF(AU6&lt;5,"TOLLERABLE",IF(AU6&lt;6,"WARM",IF(AU6&gt;=6,"HOT"))))</f>
        <v>COMFORTABLE</v>
      </c>
    </row>
    <row r="7" spans="1:48">
      <c r="A7" s="107">
        <v>2</v>
      </c>
      <c r="C7" s="104"/>
      <c r="U7" t="s">
        <v>43</v>
      </c>
      <c r="V7">
        <v>4</v>
      </c>
      <c r="Y7" s="118">
        <v>2</v>
      </c>
      <c r="Z7" s="99"/>
      <c r="AA7" s="65" t="e">
        <f t="shared" si="2"/>
        <v>#N/A</v>
      </c>
      <c r="AB7" s="65" t="e">
        <f t="shared" si="3"/>
        <v>#N/A</v>
      </c>
      <c r="AC7" s="65" t="e">
        <f t="shared" si="4"/>
        <v>#N/A</v>
      </c>
      <c r="AD7" s="65" t="e">
        <f t="shared" si="5"/>
        <v>#N/A</v>
      </c>
      <c r="AE7" s="65" t="e">
        <f t="shared" si="6"/>
        <v>#N/A</v>
      </c>
      <c r="AF7" s="65" t="e">
        <f t="shared" si="7"/>
        <v>#N/A</v>
      </c>
      <c r="AG7" s="65" t="e">
        <f t="shared" si="8"/>
        <v>#N/A</v>
      </c>
      <c r="AH7" s="65" t="e">
        <f t="shared" si="9"/>
        <v>#N/A</v>
      </c>
      <c r="AI7" s="110" t="e">
        <f t="shared" si="10"/>
        <v>#N/A</v>
      </c>
      <c r="AK7" s="112"/>
      <c r="AM7">
        <v>1</v>
      </c>
      <c r="AN7" s="127"/>
      <c r="AO7" s="127"/>
      <c r="AP7" s="127"/>
      <c r="AQ7" s="117">
        <f t="shared" ref="AQ7:AQ29" si="11">IFERROR(AO7/AP7,0)</f>
        <v>0</v>
      </c>
      <c r="AR7" s="117">
        <f t="shared" ref="AR7:AR29" si="12">((AN7*AP7))/3600/48</f>
        <v>0</v>
      </c>
      <c r="AS7">
        <f>IF(AR7&lt;0.25,1,IF(AR7&lt;0.5,2,IF(AR7&lt;0.75,3,IF(AR7&lt;1,4,IF(AR7&gt;1,5)))))</f>
        <v>1</v>
      </c>
      <c r="AT7">
        <f t="shared" ref="AT7:AT29" si="13">IF(AQ7&lt;0.05,1, IF(AQ7&lt;0.1,2,IF(AQ7&lt;0.15,3,IF(AQ7&lt;0.5,4,IF(AQ7&gt;=0.5,5)))))</f>
        <v>1</v>
      </c>
      <c r="AU7">
        <f t="shared" ref="AU7:AU29" si="14">AS7+AT7</f>
        <v>2</v>
      </c>
      <c r="AV7" t="str">
        <f t="shared" ref="AV7:AV29" si="15">IF(AU7&lt;3,"COMFORTABLE",IF(AU7&lt;5,"TOLLERABLE",IF(AU7&lt;6,"WARM",IF(AU7&gt;=6,"HOT"))))</f>
        <v>COMFORTABLE</v>
      </c>
    </row>
    <row r="8" spans="1:48">
      <c r="A8" s="107">
        <v>3</v>
      </c>
      <c r="C8" s="104"/>
      <c r="Y8" s="118">
        <v>3</v>
      </c>
      <c r="Z8" s="99"/>
      <c r="AA8" s="65" t="e">
        <f t="shared" si="2"/>
        <v>#N/A</v>
      </c>
      <c r="AB8" s="65" t="e">
        <f t="shared" si="3"/>
        <v>#N/A</v>
      </c>
      <c r="AC8" s="65" t="e">
        <f t="shared" si="4"/>
        <v>#N/A</v>
      </c>
      <c r="AD8" s="65" t="e">
        <f t="shared" si="5"/>
        <v>#N/A</v>
      </c>
      <c r="AE8" s="65" t="e">
        <f t="shared" si="6"/>
        <v>#N/A</v>
      </c>
      <c r="AF8" s="65" t="e">
        <f t="shared" si="7"/>
        <v>#N/A</v>
      </c>
      <c r="AG8" s="65" t="e">
        <f t="shared" si="8"/>
        <v>#N/A</v>
      </c>
      <c r="AH8" s="65" t="e">
        <f t="shared" si="9"/>
        <v>#N/A</v>
      </c>
      <c r="AI8" s="107" t="e">
        <f t="shared" si="10"/>
        <v>#N/A</v>
      </c>
      <c r="AK8" s="112"/>
      <c r="AM8">
        <v>2</v>
      </c>
      <c r="AN8" s="127"/>
      <c r="AO8" s="127"/>
      <c r="AP8" s="127"/>
      <c r="AQ8" s="117">
        <f t="shared" si="11"/>
        <v>0</v>
      </c>
      <c r="AR8" s="117">
        <f t="shared" si="12"/>
        <v>0</v>
      </c>
      <c r="AS8">
        <f t="shared" ref="AS8:AS29" si="16">IF(AR8&lt;0.25,1,IF(AR8&lt;0.5,2,IF(AR8&lt;0.75,3,IF(AR8&lt;1,4,IF(AR8&gt;1,5)))))</f>
        <v>1</v>
      </c>
      <c r="AT8">
        <f t="shared" si="13"/>
        <v>1</v>
      </c>
      <c r="AU8">
        <f t="shared" si="14"/>
        <v>2</v>
      </c>
      <c r="AV8" t="str">
        <f t="shared" si="15"/>
        <v>COMFORTABLE</v>
      </c>
    </row>
    <row r="9" spans="1:48">
      <c r="A9" s="107">
        <v>4</v>
      </c>
      <c r="C9" s="104"/>
      <c r="Y9" s="118">
        <v>4</v>
      </c>
      <c r="Z9" s="99"/>
      <c r="AA9" s="65" t="e">
        <f t="shared" si="2"/>
        <v>#N/A</v>
      </c>
      <c r="AB9" s="65" t="e">
        <f t="shared" si="3"/>
        <v>#N/A</v>
      </c>
      <c r="AC9" s="65" t="e">
        <f t="shared" si="4"/>
        <v>#N/A</v>
      </c>
      <c r="AD9" s="65" t="e">
        <f t="shared" si="5"/>
        <v>#N/A</v>
      </c>
      <c r="AE9" s="65" t="e">
        <f t="shared" si="6"/>
        <v>#N/A</v>
      </c>
      <c r="AF9" s="65" t="e">
        <f t="shared" si="7"/>
        <v>#N/A</v>
      </c>
      <c r="AG9" s="65" t="e">
        <f t="shared" si="8"/>
        <v>#N/A</v>
      </c>
      <c r="AH9" s="65" t="e">
        <f t="shared" si="9"/>
        <v>#N/A</v>
      </c>
      <c r="AI9" s="107" t="e">
        <f t="shared" si="10"/>
        <v>#N/A</v>
      </c>
      <c r="AK9" s="112"/>
      <c r="AM9">
        <v>3</v>
      </c>
      <c r="AN9" s="127"/>
      <c r="AO9" s="127"/>
      <c r="AP9" s="127"/>
      <c r="AQ9" s="117">
        <f t="shared" si="11"/>
        <v>0</v>
      </c>
      <c r="AR9" s="117">
        <f t="shared" si="12"/>
        <v>0</v>
      </c>
      <c r="AS9">
        <f t="shared" si="16"/>
        <v>1</v>
      </c>
      <c r="AT9">
        <f t="shared" si="13"/>
        <v>1</v>
      </c>
      <c r="AU9">
        <f t="shared" si="14"/>
        <v>2</v>
      </c>
      <c r="AV9" t="str">
        <f t="shared" si="15"/>
        <v>COMFORTABLE</v>
      </c>
    </row>
    <row r="10" spans="1:48">
      <c r="A10" s="107">
        <v>5</v>
      </c>
      <c r="C10" s="104"/>
      <c r="Y10" s="118">
        <v>5</v>
      </c>
      <c r="Z10" s="99"/>
      <c r="AA10" s="65" t="e">
        <f t="shared" si="2"/>
        <v>#N/A</v>
      </c>
      <c r="AB10" s="65" t="e">
        <f t="shared" si="3"/>
        <v>#N/A</v>
      </c>
      <c r="AC10" s="65" t="e">
        <f t="shared" si="4"/>
        <v>#N/A</v>
      </c>
      <c r="AD10" s="65" t="e">
        <f t="shared" si="5"/>
        <v>#N/A</v>
      </c>
      <c r="AE10" s="65" t="e">
        <f t="shared" si="6"/>
        <v>#N/A</v>
      </c>
      <c r="AF10" s="65" t="e">
        <f t="shared" si="7"/>
        <v>#N/A</v>
      </c>
      <c r="AG10" s="65" t="e">
        <f t="shared" si="8"/>
        <v>#N/A</v>
      </c>
      <c r="AH10" s="65" t="e">
        <f t="shared" si="9"/>
        <v>#N/A</v>
      </c>
      <c r="AI10" s="107" t="e">
        <f t="shared" si="10"/>
        <v>#N/A</v>
      </c>
      <c r="AK10" s="112"/>
      <c r="AM10">
        <v>4</v>
      </c>
      <c r="AN10" s="127"/>
      <c r="AO10" s="127"/>
      <c r="AP10" s="127"/>
      <c r="AQ10" s="117">
        <f t="shared" si="11"/>
        <v>0</v>
      </c>
      <c r="AR10" s="117">
        <f t="shared" si="12"/>
        <v>0</v>
      </c>
      <c r="AS10">
        <f t="shared" si="16"/>
        <v>1</v>
      </c>
      <c r="AT10">
        <f t="shared" si="13"/>
        <v>1</v>
      </c>
      <c r="AU10">
        <f t="shared" si="14"/>
        <v>2</v>
      </c>
      <c r="AV10" t="str">
        <f t="shared" si="15"/>
        <v>COMFORTABLE</v>
      </c>
    </row>
    <row r="11" spans="1:48">
      <c r="A11" s="107">
        <v>6</v>
      </c>
      <c r="C11" s="104"/>
      <c r="Y11" s="118">
        <v>6</v>
      </c>
      <c r="Z11" s="99"/>
      <c r="AA11" s="65" t="e">
        <f t="shared" si="2"/>
        <v>#N/A</v>
      </c>
      <c r="AB11" s="65" t="e">
        <f t="shared" si="3"/>
        <v>#N/A</v>
      </c>
      <c r="AC11" s="65" t="e">
        <f t="shared" si="4"/>
        <v>#N/A</v>
      </c>
      <c r="AD11" s="65" t="e">
        <f t="shared" si="5"/>
        <v>#N/A</v>
      </c>
      <c r="AE11" s="65" t="e">
        <f t="shared" si="6"/>
        <v>#N/A</v>
      </c>
      <c r="AF11" s="65" t="e">
        <f t="shared" si="7"/>
        <v>#N/A</v>
      </c>
      <c r="AG11" s="65" t="e">
        <f t="shared" si="8"/>
        <v>#N/A</v>
      </c>
      <c r="AH11" s="65" t="e">
        <f t="shared" si="9"/>
        <v>#N/A</v>
      </c>
      <c r="AI11" s="107" t="e">
        <f t="shared" si="10"/>
        <v>#N/A</v>
      </c>
      <c r="AK11" s="112"/>
      <c r="AM11">
        <v>5</v>
      </c>
      <c r="AN11" s="127"/>
      <c r="AO11" s="127"/>
      <c r="AP11" s="127"/>
      <c r="AQ11" s="117">
        <f t="shared" si="11"/>
        <v>0</v>
      </c>
      <c r="AR11" s="117">
        <f t="shared" si="12"/>
        <v>0</v>
      </c>
      <c r="AS11">
        <f>IF(AR11&lt;0.25,1,IF(AR11&lt;0.5,2,IF(AR11&lt;0.75,3,IF(AR11&lt;1,4,IF(AR11&gt;1,5)))))</f>
        <v>1</v>
      </c>
      <c r="AT11">
        <f>IF(AQ11&lt;0.05,1, IF(AQ11&lt;0.1,2,IF(AQ11&lt;0.15,3,IF(AQ11&lt;0.5,4,IF(AQ11&gt;=0.5,5)))))</f>
        <v>1</v>
      </c>
      <c r="AU11">
        <f t="shared" si="14"/>
        <v>2</v>
      </c>
      <c r="AV11" t="str">
        <f t="shared" si="15"/>
        <v>COMFORTABLE</v>
      </c>
    </row>
    <row r="12" spans="1:48">
      <c r="A12" s="107">
        <v>7</v>
      </c>
      <c r="C12" s="104"/>
      <c r="Y12" s="118">
        <v>7</v>
      </c>
      <c r="Z12" s="99"/>
      <c r="AA12" s="65" t="e">
        <f t="shared" si="2"/>
        <v>#N/A</v>
      </c>
      <c r="AB12" s="65" t="e">
        <f t="shared" si="3"/>
        <v>#N/A</v>
      </c>
      <c r="AC12" s="65" t="e">
        <f t="shared" si="4"/>
        <v>#N/A</v>
      </c>
      <c r="AD12" s="65" t="e">
        <f t="shared" si="5"/>
        <v>#N/A</v>
      </c>
      <c r="AE12" s="65" t="e">
        <f t="shared" si="6"/>
        <v>#N/A</v>
      </c>
      <c r="AF12" s="65" t="e">
        <f t="shared" si="7"/>
        <v>#N/A</v>
      </c>
      <c r="AG12" s="65" t="e">
        <f t="shared" si="8"/>
        <v>#N/A</v>
      </c>
      <c r="AH12" s="65" t="e">
        <f t="shared" si="9"/>
        <v>#N/A</v>
      </c>
      <c r="AI12" s="107" t="e">
        <f t="shared" si="10"/>
        <v>#N/A</v>
      </c>
      <c r="AK12" s="112"/>
      <c r="AM12">
        <v>6</v>
      </c>
      <c r="AN12" s="127"/>
      <c r="AO12" s="127"/>
      <c r="AP12" s="127"/>
      <c r="AQ12" s="117">
        <f t="shared" si="11"/>
        <v>0</v>
      </c>
      <c r="AR12" s="117">
        <f t="shared" si="12"/>
        <v>0</v>
      </c>
      <c r="AS12">
        <f t="shared" si="16"/>
        <v>1</v>
      </c>
      <c r="AT12">
        <f t="shared" si="13"/>
        <v>1</v>
      </c>
      <c r="AU12">
        <f t="shared" si="14"/>
        <v>2</v>
      </c>
      <c r="AV12" t="str">
        <f t="shared" si="15"/>
        <v>COMFORTABLE</v>
      </c>
    </row>
    <row r="13" spans="1:48">
      <c r="A13" s="107">
        <v>8</v>
      </c>
      <c r="C13" s="104"/>
      <c r="Y13" s="118">
        <v>8</v>
      </c>
      <c r="Z13" s="99"/>
      <c r="AA13" s="65" t="e">
        <f t="shared" si="2"/>
        <v>#N/A</v>
      </c>
      <c r="AB13" s="65" t="e">
        <f t="shared" si="3"/>
        <v>#N/A</v>
      </c>
      <c r="AC13" s="65" t="e">
        <f t="shared" si="4"/>
        <v>#N/A</v>
      </c>
      <c r="AD13" s="65" t="e">
        <f t="shared" si="5"/>
        <v>#N/A</v>
      </c>
      <c r="AE13" s="65" t="e">
        <f t="shared" si="6"/>
        <v>#N/A</v>
      </c>
      <c r="AF13" s="65" t="e">
        <f t="shared" si="7"/>
        <v>#N/A</v>
      </c>
      <c r="AG13" s="65" t="e">
        <f t="shared" si="8"/>
        <v>#N/A</v>
      </c>
      <c r="AH13" s="65" t="e">
        <f t="shared" si="9"/>
        <v>#N/A</v>
      </c>
      <c r="AI13" s="107" t="e">
        <f t="shared" si="10"/>
        <v>#N/A</v>
      </c>
      <c r="AK13" s="112"/>
      <c r="AM13">
        <v>7</v>
      </c>
      <c r="AN13" s="127"/>
      <c r="AO13" s="127"/>
      <c r="AP13" s="127"/>
      <c r="AQ13" s="117">
        <f t="shared" si="11"/>
        <v>0</v>
      </c>
      <c r="AR13" s="117">
        <f t="shared" si="12"/>
        <v>0</v>
      </c>
      <c r="AS13">
        <f t="shared" si="16"/>
        <v>1</v>
      </c>
      <c r="AT13">
        <f t="shared" si="13"/>
        <v>1</v>
      </c>
      <c r="AU13">
        <f t="shared" si="14"/>
        <v>2</v>
      </c>
      <c r="AV13" t="str">
        <f t="shared" si="15"/>
        <v>COMFORTABLE</v>
      </c>
    </row>
    <row r="14" spans="1:48">
      <c r="A14" s="107">
        <v>9</v>
      </c>
      <c r="C14" s="104"/>
      <c r="Y14" s="118">
        <v>9</v>
      </c>
      <c r="Z14" s="99"/>
      <c r="AA14" s="65" t="e">
        <f t="shared" si="2"/>
        <v>#N/A</v>
      </c>
      <c r="AB14" s="65" t="e">
        <f t="shared" si="3"/>
        <v>#N/A</v>
      </c>
      <c r="AC14" s="65" t="e">
        <f t="shared" si="4"/>
        <v>#N/A</v>
      </c>
      <c r="AD14" s="65" t="e">
        <f t="shared" si="5"/>
        <v>#N/A</v>
      </c>
      <c r="AE14" s="65" t="e">
        <f t="shared" si="6"/>
        <v>#N/A</v>
      </c>
      <c r="AF14" s="65" t="e">
        <f t="shared" si="7"/>
        <v>#N/A</v>
      </c>
      <c r="AG14" s="65" t="e">
        <f t="shared" si="8"/>
        <v>#N/A</v>
      </c>
      <c r="AH14" s="65" t="e">
        <f t="shared" si="9"/>
        <v>#N/A</v>
      </c>
      <c r="AI14" s="107" t="e">
        <f t="shared" si="10"/>
        <v>#N/A</v>
      </c>
      <c r="AK14" s="112"/>
      <c r="AM14">
        <v>8</v>
      </c>
      <c r="AN14" s="127"/>
      <c r="AO14" s="127"/>
      <c r="AP14" s="127"/>
      <c r="AQ14" s="117">
        <f t="shared" si="11"/>
        <v>0</v>
      </c>
      <c r="AR14" s="117">
        <f t="shared" si="12"/>
        <v>0</v>
      </c>
      <c r="AS14">
        <f>IF(AR14&lt;0.25,1,IF(AR14&lt;0.5,2,IF(AR14&lt;0.75,3,IF(AR14&lt;1,4,IF(AR14&gt;1,5)))))</f>
        <v>1</v>
      </c>
      <c r="AT14">
        <f>IF(AQ14&lt;0.05,1, IF(AQ14&lt;0.1,2,IF(AQ14&lt;0.15,3,IF(AQ14&lt;0.5,4,IF(AQ14&gt;=0.5,5)))))</f>
        <v>1</v>
      </c>
      <c r="AU14">
        <f t="shared" si="14"/>
        <v>2</v>
      </c>
      <c r="AV14" t="str">
        <f t="shared" si="15"/>
        <v>COMFORTABLE</v>
      </c>
    </row>
    <row r="15" spans="1:48">
      <c r="A15" s="107">
        <v>10</v>
      </c>
      <c r="C15" s="104"/>
      <c r="Y15" s="118">
        <v>10</v>
      </c>
      <c r="Z15" s="99"/>
      <c r="AA15" s="65" t="e">
        <f t="shared" si="2"/>
        <v>#N/A</v>
      </c>
      <c r="AB15" s="65" t="e">
        <f t="shared" si="3"/>
        <v>#N/A</v>
      </c>
      <c r="AC15" s="65" t="e">
        <f t="shared" si="4"/>
        <v>#N/A</v>
      </c>
      <c r="AD15" s="65" t="e">
        <f t="shared" si="5"/>
        <v>#N/A</v>
      </c>
      <c r="AE15" s="65" t="e">
        <f t="shared" si="6"/>
        <v>#N/A</v>
      </c>
      <c r="AF15" s="65" t="e">
        <f t="shared" si="7"/>
        <v>#N/A</v>
      </c>
      <c r="AG15" s="65" t="e">
        <f t="shared" si="8"/>
        <v>#N/A</v>
      </c>
      <c r="AH15" s="65" t="e">
        <f t="shared" si="9"/>
        <v>#N/A</v>
      </c>
      <c r="AI15" s="107" t="e">
        <f t="shared" si="10"/>
        <v>#N/A</v>
      </c>
      <c r="AK15" s="112"/>
      <c r="AM15">
        <v>9</v>
      </c>
      <c r="AN15" s="127"/>
      <c r="AO15" s="127"/>
      <c r="AP15" s="127"/>
      <c r="AQ15" s="117">
        <f t="shared" si="11"/>
        <v>0</v>
      </c>
      <c r="AR15" s="117">
        <f t="shared" si="12"/>
        <v>0</v>
      </c>
      <c r="AS15">
        <f t="shared" si="16"/>
        <v>1</v>
      </c>
      <c r="AT15">
        <f t="shared" si="13"/>
        <v>1</v>
      </c>
      <c r="AU15">
        <f t="shared" si="14"/>
        <v>2</v>
      </c>
      <c r="AV15" t="str">
        <f t="shared" si="15"/>
        <v>COMFORTABLE</v>
      </c>
    </row>
    <row r="16" spans="1:48">
      <c r="A16" s="107">
        <v>11</v>
      </c>
      <c r="C16" s="104"/>
      <c r="Y16" s="118">
        <v>11</v>
      </c>
      <c r="Z16" s="99"/>
      <c r="AA16" s="65" t="e">
        <f t="shared" si="2"/>
        <v>#N/A</v>
      </c>
      <c r="AB16" s="65" t="e">
        <f t="shared" si="3"/>
        <v>#N/A</v>
      </c>
      <c r="AC16" s="65" t="e">
        <f t="shared" si="4"/>
        <v>#N/A</v>
      </c>
      <c r="AD16" s="65" t="e">
        <f t="shared" si="5"/>
        <v>#N/A</v>
      </c>
      <c r="AE16" s="65" t="e">
        <f t="shared" si="6"/>
        <v>#N/A</v>
      </c>
      <c r="AF16" s="65" t="e">
        <f t="shared" si="7"/>
        <v>#N/A</v>
      </c>
      <c r="AG16" s="65" t="e">
        <f t="shared" si="8"/>
        <v>#N/A</v>
      </c>
      <c r="AH16" s="65" t="e">
        <f t="shared" si="9"/>
        <v>#N/A</v>
      </c>
      <c r="AI16" s="107" t="e">
        <f t="shared" si="10"/>
        <v>#N/A</v>
      </c>
      <c r="AK16" s="112"/>
      <c r="AM16">
        <v>10</v>
      </c>
      <c r="AN16" s="127"/>
      <c r="AO16" s="127"/>
      <c r="AP16" s="127"/>
      <c r="AQ16" s="117">
        <f t="shared" si="11"/>
        <v>0</v>
      </c>
      <c r="AR16" s="117">
        <f t="shared" si="12"/>
        <v>0</v>
      </c>
      <c r="AS16">
        <f t="shared" si="16"/>
        <v>1</v>
      </c>
      <c r="AT16">
        <f t="shared" si="13"/>
        <v>1</v>
      </c>
      <c r="AU16">
        <f t="shared" si="14"/>
        <v>2</v>
      </c>
      <c r="AV16" t="str">
        <f t="shared" si="15"/>
        <v>COMFORTABLE</v>
      </c>
    </row>
    <row r="17" spans="1:48">
      <c r="A17" s="107">
        <v>12</v>
      </c>
      <c r="C17" s="104"/>
      <c r="Y17" s="118">
        <v>12</v>
      </c>
      <c r="Z17" s="99"/>
      <c r="AA17" s="65" t="e">
        <f t="shared" si="2"/>
        <v>#N/A</v>
      </c>
      <c r="AB17" s="65" t="e">
        <f t="shared" si="3"/>
        <v>#N/A</v>
      </c>
      <c r="AC17" s="65" t="e">
        <f t="shared" si="4"/>
        <v>#N/A</v>
      </c>
      <c r="AD17" s="65" t="e">
        <f t="shared" si="5"/>
        <v>#N/A</v>
      </c>
      <c r="AE17" s="65" t="e">
        <f t="shared" si="6"/>
        <v>#N/A</v>
      </c>
      <c r="AF17" s="65" t="e">
        <f t="shared" si="7"/>
        <v>#N/A</v>
      </c>
      <c r="AG17" s="65" t="e">
        <f t="shared" si="8"/>
        <v>#N/A</v>
      </c>
      <c r="AH17" s="65" t="e">
        <f t="shared" si="9"/>
        <v>#N/A</v>
      </c>
      <c r="AI17" s="107" t="e">
        <f t="shared" si="10"/>
        <v>#N/A</v>
      </c>
      <c r="AK17" s="112"/>
      <c r="AM17">
        <v>11</v>
      </c>
      <c r="AN17" s="127"/>
      <c r="AO17" s="127"/>
      <c r="AP17" s="127"/>
      <c r="AQ17" s="117">
        <f t="shared" si="11"/>
        <v>0</v>
      </c>
      <c r="AR17" s="117">
        <f t="shared" si="12"/>
        <v>0</v>
      </c>
      <c r="AS17">
        <f t="shared" si="16"/>
        <v>1</v>
      </c>
      <c r="AT17">
        <f t="shared" si="13"/>
        <v>1</v>
      </c>
      <c r="AU17">
        <f t="shared" si="14"/>
        <v>2</v>
      </c>
      <c r="AV17" t="str">
        <f t="shared" si="15"/>
        <v>COMFORTABLE</v>
      </c>
    </row>
    <row r="18" spans="1:48">
      <c r="A18" s="107">
        <v>13</v>
      </c>
      <c r="C18" s="104"/>
      <c r="Y18" s="118">
        <v>13</v>
      </c>
      <c r="Z18" s="99"/>
      <c r="AA18" s="65" t="e">
        <f t="shared" si="2"/>
        <v>#N/A</v>
      </c>
      <c r="AB18" s="65" t="e">
        <f t="shared" si="3"/>
        <v>#N/A</v>
      </c>
      <c r="AC18" s="65" t="e">
        <f t="shared" si="4"/>
        <v>#N/A</v>
      </c>
      <c r="AD18" s="65" t="e">
        <f t="shared" si="5"/>
        <v>#N/A</v>
      </c>
      <c r="AE18" s="65" t="e">
        <f t="shared" si="6"/>
        <v>#N/A</v>
      </c>
      <c r="AF18" s="65" t="e">
        <f t="shared" si="7"/>
        <v>#N/A</v>
      </c>
      <c r="AG18" s="65" t="e">
        <f t="shared" si="8"/>
        <v>#N/A</v>
      </c>
      <c r="AH18" s="65" t="e">
        <f t="shared" si="9"/>
        <v>#N/A</v>
      </c>
      <c r="AI18" s="107" t="e">
        <f t="shared" si="10"/>
        <v>#N/A</v>
      </c>
      <c r="AK18" s="112"/>
      <c r="AM18">
        <v>12</v>
      </c>
      <c r="AN18" s="127"/>
      <c r="AO18" s="127"/>
      <c r="AP18" s="127"/>
      <c r="AQ18" s="117">
        <f t="shared" si="11"/>
        <v>0</v>
      </c>
      <c r="AR18" s="117">
        <f t="shared" si="12"/>
        <v>0</v>
      </c>
      <c r="AS18">
        <f t="shared" si="16"/>
        <v>1</v>
      </c>
      <c r="AT18">
        <f t="shared" si="13"/>
        <v>1</v>
      </c>
      <c r="AU18">
        <f t="shared" si="14"/>
        <v>2</v>
      </c>
      <c r="AV18" t="str">
        <f t="shared" si="15"/>
        <v>COMFORTABLE</v>
      </c>
    </row>
    <row r="19" spans="1:48">
      <c r="A19" s="107">
        <v>14</v>
      </c>
      <c r="C19" s="104"/>
      <c r="Y19" s="118">
        <v>14</v>
      </c>
      <c r="Z19" s="99"/>
      <c r="AA19" s="65" t="e">
        <f t="shared" si="2"/>
        <v>#N/A</v>
      </c>
      <c r="AB19" s="65" t="e">
        <f t="shared" si="3"/>
        <v>#N/A</v>
      </c>
      <c r="AC19" s="65" t="e">
        <f t="shared" si="4"/>
        <v>#N/A</v>
      </c>
      <c r="AD19" s="65" t="e">
        <f t="shared" si="5"/>
        <v>#N/A</v>
      </c>
      <c r="AE19" s="65" t="e">
        <f t="shared" si="6"/>
        <v>#N/A</v>
      </c>
      <c r="AF19" s="65" t="e">
        <f t="shared" si="7"/>
        <v>#N/A</v>
      </c>
      <c r="AG19" s="65" t="e">
        <f t="shared" si="8"/>
        <v>#N/A</v>
      </c>
      <c r="AH19" s="65" t="e">
        <f t="shared" si="9"/>
        <v>#N/A</v>
      </c>
      <c r="AI19" s="107" t="e">
        <f t="shared" si="10"/>
        <v>#N/A</v>
      </c>
      <c r="AK19" s="112"/>
      <c r="AM19">
        <v>13</v>
      </c>
      <c r="AN19" s="127"/>
      <c r="AO19" s="127"/>
      <c r="AP19" s="127"/>
      <c r="AQ19" s="117">
        <f t="shared" si="11"/>
        <v>0</v>
      </c>
      <c r="AR19" s="117">
        <f t="shared" si="12"/>
        <v>0</v>
      </c>
      <c r="AS19">
        <f t="shared" si="16"/>
        <v>1</v>
      </c>
      <c r="AT19">
        <f t="shared" si="13"/>
        <v>1</v>
      </c>
      <c r="AU19">
        <f t="shared" si="14"/>
        <v>2</v>
      </c>
      <c r="AV19" t="str">
        <f t="shared" si="15"/>
        <v>COMFORTABLE</v>
      </c>
    </row>
    <row r="20" spans="1:48">
      <c r="A20" s="107">
        <v>15</v>
      </c>
      <c r="C20" s="104"/>
      <c r="Y20" s="118">
        <v>15</v>
      </c>
      <c r="Z20" s="99"/>
      <c r="AA20" s="65" t="e">
        <f t="shared" si="2"/>
        <v>#N/A</v>
      </c>
      <c r="AB20" s="65" t="e">
        <f t="shared" si="3"/>
        <v>#N/A</v>
      </c>
      <c r="AC20" s="65" t="e">
        <f t="shared" si="4"/>
        <v>#N/A</v>
      </c>
      <c r="AD20" s="65" t="e">
        <f t="shared" si="5"/>
        <v>#N/A</v>
      </c>
      <c r="AE20" s="65" t="e">
        <f t="shared" si="6"/>
        <v>#N/A</v>
      </c>
      <c r="AF20" s="65" t="e">
        <f t="shared" si="7"/>
        <v>#N/A</v>
      </c>
      <c r="AG20" s="65" t="e">
        <f t="shared" si="8"/>
        <v>#N/A</v>
      </c>
      <c r="AH20" s="65" t="e">
        <f t="shared" si="9"/>
        <v>#N/A</v>
      </c>
      <c r="AI20" s="107" t="e">
        <f t="shared" si="10"/>
        <v>#N/A</v>
      </c>
      <c r="AK20" s="112"/>
      <c r="AM20">
        <v>14</v>
      </c>
      <c r="AN20" s="127"/>
      <c r="AO20" s="127"/>
      <c r="AP20" s="127"/>
      <c r="AQ20" s="117">
        <f t="shared" si="11"/>
        <v>0</v>
      </c>
      <c r="AR20" s="117">
        <f t="shared" si="12"/>
        <v>0</v>
      </c>
      <c r="AS20">
        <f>IF(AR20&lt;0.25,1,IF(AR20&lt;0.5,2,IF(AR20&lt;0.75,3,IF(AR20&lt;1,4,IF(AR20&gt;1,5)))))</f>
        <v>1</v>
      </c>
      <c r="AT20">
        <f t="shared" si="13"/>
        <v>1</v>
      </c>
      <c r="AU20">
        <f t="shared" si="14"/>
        <v>2</v>
      </c>
      <c r="AV20" t="str">
        <f t="shared" si="15"/>
        <v>COMFORTABLE</v>
      </c>
    </row>
    <row r="21" spans="1:48">
      <c r="A21" s="107">
        <v>16</v>
      </c>
      <c r="C21" s="104"/>
      <c r="Y21" s="118">
        <v>16</v>
      </c>
      <c r="Z21" s="99"/>
      <c r="AA21" s="65" t="e">
        <f t="shared" si="2"/>
        <v>#N/A</v>
      </c>
      <c r="AB21" s="65" t="e">
        <f t="shared" si="3"/>
        <v>#N/A</v>
      </c>
      <c r="AC21" s="65" t="e">
        <f t="shared" si="4"/>
        <v>#N/A</v>
      </c>
      <c r="AD21" s="65" t="e">
        <f t="shared" si="5"/>
        <v>#N/A</v>
      </c>
      <c r="AE21" s="65" t="e">
        <f t="shared" si="6"/>
        <v>#N/A</v>
      </c>
      <c r="AF21" s="65" t="e">
        <f t="shared" si="7"/>
        <v>#N/A</v>
      </c>
      <c r="AG21" s="65" t="e">
        <f t="shared" si="8"/>
        <v>#N/A</v>
      </c>
      <c r="AH21" s="65" t="e">
        <f t="shared" si="9"/>
        <v>#N/A</v>
      </c>
      <c r="AI21" s="107" t="e">
        <f t="shared" si="10"/>
        <v>#N/A</v>
      </c>
      <c r="AK21" s="112"/>
      <c r="AM21">
        <v>15</v>
      </c>
      <c r="AN21" s="127"/>
      <c r="AO21" s="127"/>
      <c r="AP21" s="127"/>
      <c r="AQ21" s="117">
        <f t="shared" si="11"/>
        <v>0</v>
      </c>
      <c r="AR21" s="117">
        <f t="shared" si="12"/>
        <v>0</v>
      </c>
      <c r="AS21">
        <f>IF(AR21&lt;0.25,1,IF(AR21&lt;0.5,2,IF(AR21&lt;0.75,3,IF(AR21&lt;1,4,IF(AR21&gt;1,5)))))</f>
        <v>1</v>
      </c>
      <c r="AT21">
        <f>IF(AQ21&lt;0.05,1, IF(AQ21&lt;0.1,2,IF(AQ21&lt;0.15,3,IF(AQ21&lt;0.5,4,IF(AQ21&gt;=0.5,5)))))</f>
        <v>1</v>
      </c>
      <c r="AU21">
        <f t="shared" si="14"/>
        <v>2</v>
      </c>
      <c r="AV21" t="str">
        <f t="shared" si="15"/>
        <v>COMFORTABLE</v>
      </c>
    </row>
    <row r="22" spans="1:48">
      <c r="A22" s="107">
        <v>17</v>
      </c>
      <c r="C22" s="104"/>
      <c r="Y22" s="118">
        <v>17</v>
      </c>
      <c r="Z22" s="99"/>
      <c r="AA22" s="65" t="e">
        <f t="shared" si="2"/>
        <v>#N/A</v>
      </c>
      <c r="AB22" s="65" t="e">
        <f t="shared" si="3"/>
        <v>#N/A</v>
      </c>
      <c r="AC22" s="65" t="e">
        <f t="shared" si="4"/>
        <v>#N/A</v>
      </c>
      <c r="AD22" s="65" t="e">
        <f t="shared" si="5"/>
        <v>#N/A</v>
      </c>
      <c r="AE22" s="65" t="e">
        <f t="shared" si="6"/>
        <v>#N/A</v>
      </c>
      <c r="AF22" s="65" t="e">
        <f t="shared" si="7"/>
        <v>#N/A</v>
      </c>
      <c r="AG22" s="65" t="e">
        <f t="shared" si="8"/>
        <v>#N/A</v>
      </c>
      <c r="AH22" s="65" t="e">
        <f t="shared" si="9"/>
        <v>#N/A</v>
      </c>
      <c r="AI22" s="107" t="e">
        <f t="shared" si="10"/>
        <v>#N/A</v>
      </c>
      <c r="AK22" s="112"/>
      <c r="AM22">
        <v>16</v>
      </c>
      <c r="AN22" s="127"/>
      <c r="AO22" s="127"/>
      <c r="AP22" s="127"/>
      <c r="AQ22" s="117">
        <f t="shared" si="11"/>
        <v>0</v>
      </c>
      <c r="AR22" s="117">
        <f t="shared" si="12"/>
        <v>0</v>
      </c>
      <c r="AS22">
        <f t="shared" si="16"/>
        <v>1</v>
      </c>
      <c r="AT22">
        <f t="shared" si="13"/>
        <v>1</v>
      </c>
      <c r="AU22">
        <f t="shared" si="14"/>
        <v>2</v>
      </c>
      <c r="AV22" t="str">
        <f t="shared" si="15"/>
        <v>COMFORTABLE</v>
      </c>
    </row>
    <row r="23" spans="1:48">
      <c r="A23" s="107">
        <v>18</v>
      </c>
      <c r="C23" s="104"/>
      <c r="Y23" s="118">
        <v>18</v>
      </c>
      <c r="Z23" s="99"/>
      <c r="AA23" s="65" t="e">
        <f t="shared" si="2"/>
        <v>#N/A</v>
      </c>
      <c r="AB23" s="65" t="e">
        <f t="shared" si="3"/>
        <v>#N/A</v>
      </c>
      <c r="AC23" s="65" t="e">
        <f t="shared" si="4"/>
        <v>#N/A</v>
      </c>
      <c r="AD23" s="65" t="e">
        <f t="shared" si="5"/>
        <v>#N/A</v>
      </c>
      <c r="AE23" s="65" t="e">
        <f t="shared" si="6"/>
        <v>#N/A</v>
      </c>
      <c r="AF23" s="65" t="e">
        <f t="shared" si="7"/>
        <v>#N/A</v>
      </c>
      <c r="AG23" s="65" t="e">
        <f t="shared" si="8"/>
        <v>#N/A</v>
      </c>
      <c r="AH23" s="65" t="e">
        <f t="shared" si="9"/>
        <v>#N/A</v>
      </c>
      <c r="AI23" s="107" t="e">
        <f t="shared" si="10"/>
        <v>#N/A</v>
      </c>
      <c r="AK23" s="112"/>
      <c r="AM23">
        <v>17</v>
      </c>
      <c r="AN23" s="127"/>
      <c r="AO23" s="127"/>
      <c r="AP23" s="127"/>
      <c r="AQ23" s="117">
        <f t="shared" si="11"/>
        <v>0</v>
      </c>
      <c r="AR23" s="117">
        <f t="shared" si="12"/>
        <v>0</v>
      </c>
      <c r="AS23">
        <f t="shared" si="16"/>
        <v>1</v>
      </c>
      <c r="AT23">
        <f t="shared" si="13"/>
        <v>1</v>
      </c>
      <c r="AU23">
        <f t="shared" si="14"/>
        <v>2</v>
      </c>
      <c r="AV23" t="str">
        <f t="shared" si="15"/>
        <v>COMFORTABLE</v>
      </c>
    </row>
    <row r="24" spans="1:48">
      <c r="A24" s="107">
        <v>19</v>
      </c>
      <c r="C24" s="104"/>
      <c r="Y24" s="118">
        <v>19</v>
      </c>
      <c r="Z24" s="99"/>
      <c r="AA24" s="65" t="e">
        <f t="shared" si="2"/>
        <v>#N/A</v>
      </c>
      <c r="AB24" s="65" t="e">
        <f t="shared" si="3"/>
        <v>#N/A</v>
      </c>
      <c r="AC24" s="65" t="e">
        <f t="shared" si="4"/>
        <v>#N/A</v>
      </c>
      <c r="AD24" s="65" t="e">
        <f t="shared" si="5"/>
        <v>#N/A</v>
      </c>
      <c r="AE24" s="65" t="e">
        <f t="shared" si="6"/>
        <v>#N/A</v>
      </c>
      <c r="AF24" s="65" t="e">
        <f t="shared" si="7"/>
        <v>#N/A</v>
      </c>
      <c r="AG24" s="65" t="e">
        <f t="shared" si="8"/>
        <v>#N/A</v>
      </c>
      <c r="AH24" s="65" t="e">
        <f t="shared" si="9"/>
        <v>#N/A</v>
      </c>
      <c r="AI24" s="107" t="e">
        <f t="shared" si="10"/>
        <v>#N/A</v>
      </c>
      <c r="AK24" s="112"/>
      <c r="AM24">
        <v>18</v>
      </c>
      <c r="AN24" s="127"/>
      <c r="AO24" s="127"/>
      <c r="AP24" s="127"/>
      <c r="AQ24" s="117">
        <f t="shared" si="11"/>
        <v>0</v>
      </c>
      <c r="AR24" s="117">
        <f t="shared" si="12"/>
        <v>0</v>
      </c>
      <c r="AS24">
        <f t="shared" si="16"/>
        <v>1</v>
      </c>
      <c r="AT24">
        <f t="shared" si="13"/>
        <v>1</v>
      </c>
      <c r="AU24">
        <f t="shared" si="14"/>
        <v>2</v>
      </c>
      <c r="AV24" t="str">
        <f t="shared" si="15"/>
        <v>COMFORTABLE</v>
      </c>
    </row>
    <row r="25" spans="1:48">
      <c r="A25" s="107">
        <v>20</v>
      </c>
      <c r="C25" s="104"/>
      <c r="Y25" s="118">
        <v>20</v>
      </c>
      <c r="Z25" s="99"/>
      <c r="AA25" s="65" t="e">
        <f t="shared" si="2"/>
        <v>#N/A</v>
      </c>
      <c r="AB25" s="65" t="e">
        <f t="shared" si="3"/>
        <v>#N/A</v>
      </c>
      <c r="AC25" s="65" t="e">
        <f t="shared" si="4"/>
        <v>#N/A</v>
      </c>
      <c r="AD25" s="65" t="e">
        <f t="shared" si="5"/>
        <v>#N/A</v>
      </c>
      <c r="AE25" s="65" t="e">
        <f t="shared" si="6"/>
        <v>#N/A</v>
      </c>
      <c r="AF25" s="65" t="e">
        <f t="shared" si="7"/>
        <v>#N/A</v>
      </c>
      <c r="AG25" s="65" t="e">
        <f t="shared" si="8"/>
        <v>#N/A</v>
      </c>
      <c r="AH25" s="65" t="e">
        <f t="shared" si="9"/>
        <v>#N/A</v>
      </c>
      <c r="AI25" s="107" t="e">
        <f t="shared" si="10"/>
        <v>#N/A</v>
      </c>
      <c r="AK25" s="112"/>
      <c r="AM25">
        <v>19</v>
      </c>
      <c r="AN25" s="127"/>
      <c r="AO25" s="127"/>
      <c r="AP25" s="127"/>
      <c r="AQ25" s="117">
        <f t="shared" si="11"/>
        <v>0</v>
      </c>
      <c r="AR25" s="117">
        <f t="shared" si="12"/>
        <v>0</v>
      </c>
      <c r="AS25">
        <f>IF(AR25&lt;0.25,1,IF(AR25&lt;0.5,2,IF(AR25&lt;0.75,3,IF(AR25&lt;1,4,IF(AR25&gt;1,5)))))</f>
        <v>1</v>
      </c>
      <c r="AT25">
        <f t="shared" si="13"/>
        <v>1</v>
      </c>
      <c r="AU25">
        <f t="shared" si="14"/>
        <v>2</v>
      </c>
      <c r="AV25" t="str">
        <f t="shared" si="15"/>
        <v>COMFORTABLE</v>
      </c>
    </row>
    <row r="26" spans="1:48">
      <c r="A26" s="107">
        <v>21</v>
      </c>
      <c r="C26" s="104"/>
      <c r="Y26" s="118">
        <v>21</v>
      </c>
      <c r="Z26" s="99"/>
      <c r="AA26" s="65" t="e">
        <f t="shared" si="2"/>
        <v>#N/A</v>
      </c>
      <c r="AB26" s="65" t="e">
        <f t="shared" si="3"/>
        <v>#N/A</v>
      </c>
      <c r="AC26" s="65" t="e">
        <f t="shared" si="4"/>
        <v>#N/A</v>
      </c>
      <c r="AD26" s="65" t="e">
        <f t="shared" si="5"/>
        <v>#N/A</v>
      </c>
      <c r="AE26" s="65" t="e">
        <f t="shared" si="6"/>
        <v>#N/A</v>
      </c>
      <c r="AF26" s="65" t="e">
        <f t="shared" si="7"/>
        <v>#N/A</v>
      </c>
      <c r="AG26" s="65" t="e">
        <f t="shared" si="8"/>
        <v>#N/A</v>
      </c>
      <c r="AH26" s="65" t="e">
        <f t="shared" si="9"/>
        <v>#N/A</v>
      </c>
      <c r="AI26" s="107" t="e">
        <f t="shared" si="10"/>
        <v>#N/A</v>
      </c>
      <c r="AK26" s="112"/>
      <c r="AM26">
        <v>20</v>
      </c>
      <c r="AN26" s="127"/>
      <c r="AO26" s="127"/>
      <c r="AP26" s="127"/>
      <c r="AQ26" s="117">
        <f t="shared" si="11"/>
        <v>0</v>
      </c>
      <c r="AR26" s="117">
        <f t="shared" si="12"/>
        <v>0</v>
      </c>
      <c r="AS26">
        <f t="shared" si="16"/>
        <v>1</v>
      </c>
      <c r="AT26">
        <f t="shared" si="13"/>
        <v>1</v>
      </c>
      <c r="AU26">
        <f t="shared" si="14"/>
        <v>2</v>
      </c>
      <c r="AV26" t="str">
        <f t="shared" si="15"/>
        <v>COMFORTABLE</v>
      </c>
    </row>
    <row r="27" spans="1:48">
      <c r="A27" s="107">
        <v>22</v>
      </c>
      <c r="C27" s="104"/>
      <c r="Y27" s="118">
        <v>22</v>
      </c>
      <c r="Z27" s="99"/>
      <c r="AA27" s="65" t="e">
        <f t="shared" si="2"/>
        <v>#N/A</v>
      </c>
      <c r="AB27" s="65" t="e">
        <f t="shared" si="3"/>
        <v>#N/A</v>
      </c>
      <c r="AC27" s="65" t="e">
        <f t="shared" si="4"/>
        <v>#N/A</v>
      </c>
      <c r="AD27" s="65" t="e">
        <f t="shared" si="5"/>
        <v>#N/A</v>
      </c>
      <c r="AE27" s="65" t="e">
        <f t="shared" si="6"/>
        <v>#N/A</v>
      </c>
      <c r="AF27" s="65" t="e">
        <f t="shared" si="7"/>
        <v>#N/A</v>
      </c>
      <c r="AG27" s="65" t="e">
        <f t="shared" si="8"/>
        <v>#N/A</v>
      </c>
      <c r="AH27" s="65" t="e">
        <f t="shared" si="9"/>
        <v>#N/A</v>
      </c>
      <c r="AI27" s="107" t="e">
        <f t="shared" si="10"/>
        <v>#N/A</v>
      </c>
      <c r="AK27" s="112"/>
      <c r="AM27">
        <v>21</v>
      </c>
      <c r="AN27" s="127"/>
      <c r="AO27" s="127"/>
      <c r="AP27" s="127"/>
      <c r="AQ27" s="117">
        <f t="shared" si="11"/>
        <v>0</v>
      </c>
      <c r="AR27" s="117">
        <f t="shared" si="12"/>
        <v>0</v>
      </c>
      <c r="AS27">
        <f t="shared" si="16"/>
        <v>1</v>
      </c>
      <c r="AT27">
        <f t="shared" si="13"/>
        <v>1</v>
      </c>
      <c r="AU27">
        <f t="shared" si="14"/>
        <v>2</v>
      </c>
      <c r="AV27" t="str">
        <f t="shared" si="15"/>
        <v>COMFORTABLE</v>
      </c>
    </row>
    <row r="28" spans="1:48">
      <c r="A28" s="107">
        <v>23</v>
      </c>
      <c r="C28" s="104"/>
      <c r="Y28" s="118">
        <v>23</v>
      </c>
      <c r="Z28" s="99"/>
      <c r="AA28" s="65" t="e">
        <f t="shared" si="2"/>
        <v>#N/A</v>
      </c>
      <c r="AB28" s="65" t="e">
        <f t="shared" si="3"/>
        <v>#N/A</v>
      </c>
      <c r="AC28" s="65" t="e">
        <f t="shared" si="4"/>
        <v>#N/A</v>
      </c>
      <c r="AD28" s="65" t="e">
        <f t="shared" si="5"/>
        <v>#N/A</v>
      </c>
      <c r="AE28" s="65" t="e">
        <f t="shared" si="6"/>
        <v>#N/A</v>
      </c>
      <c r="AF28" s="65" t="e">
        <f t="shared" si="7"/>
        <v>#N/A</v>
      </c>
      <c r="AG28" s="65" t="e">
        <f t="shared" si="8"/>
        <v>#N/A</v>
      </c>
      <c r="AH28" s="65" t="e">
        <f t="shared" si="9"/>
        <v>#N/A</v>
      </c>
      <c r="AI28" s="107" t="e">
        <f t="shared" si="10"/>
        <v>#N/A</v>
      </c>
      <c r="AK28" s="112"/>
      <c r="AM28">
        <v>22</v>
      </c>
      <c r="AN28" s="127"/>
      <c r="AO28" s="127"/>
      <c r="AP28" s="127"/>
      <c r="AQ28" s="117">
        <f t="shared" si="11"/>
        <v>0</v>
      </c>
      <c r="AR28" s="117">
        <f t="shared" si="12"/>
        <v>0</v>
      </c>
      <c r="AS28">
        <f t="shared" si="16"/>
        <v>1</v>
      </c>
      <c r="AT28">
        <f t="shared" si="13"/>
        <v>1</v>
      </c>
      <c r="AU28">
        <f t="shared" si="14"/>
        <v>2</v>
      </c>
      <c r="AV28" t="str">
        <f t="shared" si="15"/>
        <v>COMFORTABLE</v>
      </c>
    </row>
    <row r="29" spans="1:48">
      <c r="AM29">
        <v>23</v>
      </c>
      <c r="AN29" s="127"/>
      <c r="AO29" s="127"/>
      <c r="AP29" s="127"/>
      <c r="AQ29" s="117">
        <f t="shared" si="11"/>
        <v>0</v>
      </c>
      <c r="AR29" s="117">
        <f t="shared" si="12"/>
        <v>0</v>
      </c>
      <c r="AS29">
        <f t="shared" si="16"/>
        <v>1</v>
      </c>
      <c r="AT29">
        <f t="shared" si="13"/>
        <v>1</v>
      </c>
      <c r="AU29">
        <f t="shared" si="14"/>
        <v>2</v>
      </c>
      <c r="AV29" t="str">
        <f t="shared" si="15"/>
        <v>COMFORTABLE</v>
      </c>
    </row>
    <row r="30" spans="1:48">
      <c r="Y30" s="105"/>
      <c r="AA30" s="107">
        <f>COUNT(AA5:AA28)</f>
        <v>0</v>
      </c>
    </row>
    <row r="31" spans="1:48">
      <c r="B31">
        <f>COUNT(AA5:AH28)</f>
        <v>0</v>
      </c>
      <c r="C31" t="s">
        <v>44</v>
      </c>
      <c r="F31" s="60" t="s">
        <v>45</v>
      </c>
      <c r="Y31" s="99"/>
      <c r="AA31" s="65"/>
      <c r="AB31" s="96"/>
    </row>
    <row r="32" spans="1:48">
      <c r="B32">
        <f>COUNTIF(AA5:AH28,4)</f>
        <v>0</v>
      </c>
      <c r="C32" t="s">
        <v>46</v>
      </c>
      <c r="D32" s="109" t="e">
        <f>B32/$B$31</f>
        <v>#DIV/0!</v>
      </c>
      <c r="F32" s="60"/>
      <c r="Y32" s="99"/>
      <c r="AA32" s="65"/>
      <c r="AB32" s="96"/>
    </row>
    <row r="33" spans="2:29">
      <c r="B33">
        <f>COUNTIF(AA5:AH28,3)</f>
        <v>0</v>
      </c>
      <c r="C33" t="s">
        <v>47</v>
      </c>
      <c r="D33" s="109" t="e">
        <f>B33/$B$31</f>
        <v>#DIV/0!</v>
      </c>
      <c r="Y33" s="99"/>
      <c r="AA33" s="65"/>
      <c r="AB33" s="96"/>
    </row>
    <row r="34" spans="2:29">
      <c r="B34">
        <f>COUNTIF(AA5:AH28,2)</f>
        <v>0</v>
      </c>
      <c r="C34" t="s">
        <v>48</v>
      </c>
      <c r="D34" s="109" t="e">
        <f>B34/$B$31</f>
        <v>#DIV/0!</v>
      </c>
      <c r="F34" s="114"/>
      <c r="Y34" s="99"/>
      <c r="AA34" s="106"/>
      <c r="AB34" s="106"/>
      <c r="AC34" s="106"/>
    </row>
    <row r="35" spans="2:29">
      <c r="B35">
        <f>COUNTIF(AA5:AH28,1)</f>
        <v>0</v>
      </c>
      <c r="C35" t="s">
        <v>49</v>
      </c>
      <c r="D35" s="109" t="e">
        <f>B35/$B$31</f>
        <v>#DIV/0!</v>
      </c>
      <c r="F35" s="113"/>
      <c r="Y35" s="99"/>
      <c r="AA35" s="101"/>
      <c r="AB35" s="101"/>
      <c r="AC35" s="101"/>
    </row>
    <row r="36" spans="2:29">
      <c r="D36" s="109"/>
      <c r="F36" s="113"/>
      <c r="Y36" s="99"/>
      <c r="AA36" s="65"/>
      <c r="AB36" s="65"/>
      <c r="AC36" s="108"/>
    </row>
    <row r="37" spans="2:29">
      <c r="F37" t="s">
        <v>50</v>
      </c>
      <c r="AA37" s="65"/>
      <c r="AB37" s="65"/>
      <c r="AC37" s="108"/>
    </row>
  </sheetData>
  <conditionalFormatting sqref="AA5:AG28 AJ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5:AH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H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B559-EE1F-464C-8E1A-AAB6E62A960A}">
  <sheetPr codeName="Sheet18"/>
  <dimension ref="A1:AL93"/>
  <sheetViews>
    <sheetView showGridLines="0" topLeftCell="A38" workbookViewId="0">
      <selection activeCell="G60" sqref="G60"/>
    </sheetView>
  </sheetViews>
  <sheetFormatPr baseColWidth="10" defaultColWidth="11" defaultRowHeight="16"/>
  <cols>
    <col min="1" max="1" width="25.6640625" bestFit="1" customWidth="1"/>
    <col min="2" max="2" width="15.6640625" bestFit="1" customWidth="1"/>
    <col min="3" max="3" width="8.6640625" bestFit="1" customWidth="1"/>
    <col min="4" max="5" width="12.1640625" bestFit="1" customWidth="1"/>
    <col min="6" max="6" width="11.83203125" bestFit="1" customWidth="1"/>
    <col min="7" max="8" width="8.6640625" bestFit="1" customWidth="1"/>
    <col min="9" max="9" width="11" bestFit="1" customWidth="1"/>
    <col min="38" max="38" width="13" bestFit="1" customWidth="1"/>
  </cols>
  <sheetData>
    <row r="1" spans="1:38" ht="17" thickBot="1"/>
    <row r="2" spans="1:38" ht="17" thickBot="1">
      <c r="A2" t="s">
        <v>51</v>
      </c>
      <c r="B2" s="6" t="s">
        <v>1</v>
      </c>
      <c r="C2" s="7" t="s">
        <v>2</v>
      </c>
      <c r="D2" s="7" t="s">
        <v>3</v>
      </c>
      <c r="E2" s="8" t="s">
        <v>4</v>
      </c>
      <c r="F2" s="9" t="s">
        <v>5</v>
      </c>
      <c r="AD2" s="55" t="s">
        <v>32</v>
      </c>
      <c r="AE2" s="56" t="s">
        <v>33</v>
      </c>
      <c r="AF2" s="56" t="s">
        <v>34</v>
      </c>
      <c r="AG2" s="56" t="s">
        <v>35</v>
      </c>
      <c r="AH2" s="56" t="s">
        <v>36</v>
      </c>
      <c r="AI2" s="56" t="s">
        <v>37</v>
      </c>
      <c r="AJ2" s="56" t="s">
        <v>38</v>
      </c>
      <c r="AK2" s="56" t="s">
        <v>39</v>
      </c>
      <c r="AL2" s="57" t="s">
        <v>52</v>
      </c>
    </row>
    <row r="3" spans="1:38">
      <c r="B3" s="4">
        <v>1</v>
      </c>
      <c r="C3" s="62"/>
      <c r="D3" s="62"/>
      <c r="E3" s="62"/>
      <c r="F3" s="11">
        <f t="shared" ref="F3:F9" si="0">E3+D3</f>
        <v>0</v>
      </c>
      <c r="AD3" s="30">
        <v>0</v>
      </c>
      <c r="AE3" s="36">
        <v>200.16428571428571</v>
      </c>
      <c r="AF3" s="36">
        <v>2.3409616357142866</v>
      </c>
      <c r="AG3" s="37">
        <v>10.838717628571423</v>
      </c>
      <c r="AH3" s="42">
        <f>AF3/AG3</f>
        <v>0.21598142104407167</v>
      </c>
      <c r="AI3" s="43">
        <f>((AE3*AG3)/3600)/48</f>
        <v>1.25551167371634E-2</v>
      </c>
      <c r="AJ3" s="22">
        <f>IF(AI3&lt;0.25,1,IF(AI3&lt;0.5,2,IF(AI3&lt;0.75,3,IF(AI3&lt;1,4,IF(AI3&gt;1,5)))))</f>
        <v>1</v>
      </c>
      <c r="AK3" s="48">
        <f>IF(AH3&lt;0.05,1, IF(AH3&lt;0.1,2,IF(AH3&lt;0.15,3,IF(AH3&lt;0.5,4,IF(AH3&gt;=0.5,5)))))</f>
        <v>4</v>
      </c>
      <c r="AL3" s="52" t="str">
        <f>IF(AND(AJ3=1,AK3=1),"COLD",IF(AND(AJ3=5,AK3=5),"TOXIC",IF(AND(AJ3&gt;4,AK3&lt;2),"HOT",IF(AND(AJ3&lt;2,AK3&gt;=4),"TOXIC",IF(AND(AJ3&lt;=3,AK3&lt;3),"IDEAL",IF(AND(AJ3&gt;3,AK3&lt;=3),"HOT",IF(AND(AJ3&lt;3,AK3&gt;2),"POLUTED",IF(AND(AJ3&lt;4,AK3&gt;3),"TOXIC",IF(AND(AJ3&gt;3,AK3&gt;3),"TOXIC",IF(AND(AJ3=3,AK3=3),"IDEAL","NOT"))))))))))</f>
        <v>TOXIC</v>
      </c>
    </row>
    <row r="4" spans="1:38">
      <c r="B4" s="4">
        <v>2</v>
      </c>
      <c r="C4" s="62"/>
      <c r="D4" s="62"/>
      <c r="E4" s="62"/>
      <c r="F4" s="11">
        <f t="shared" si="0"/>
        <v>0</v>
      </c>
      <c r="AD4" s="31">
        <v>1</v>
      </c>
      <c r="AE4" s="35">
        <v>208.232</v>
      </c>
      <c r="AF4" s="35">
        <v>1.0761733039999997</v>
      </c>
      <c r="AG4" s="38">
        <v>10.889007400000006</v>
      </c>
      <c r="AH4" s="44">
        <f>AF4/AG4</f>
        <v>9.883116655793614E-2</v>
      </c>
      <c r="AI4" s="45">
        <f t="shared" ref="AI4:AI26" si="1">((AE4*AG4)/3600)/48</f>
        <v>1.3121758037712971E-2</v>
      </c>
      <c r="AJ4" s="49">
        <f t="shared" ref="AJ4:AJ26" si="2">IF(AI4&lt;0.25,1,IF(AI4&lt;0.5,2,IF(AI4&lt;0.75,3,IF(AI4&lt;1,4,IF(AI4&gt;1,5)))))</f>
        <v>1</v>
      </c>
      <c r="AK4" s="50">
        <f t="shared" ref="AK4:AK26" si="3">IF(AH4&lt;0.05,1, IF(AH4&lt;0.1,2,IF(AH4&lt;0.15,3,IF(AH4&lt;0.5,4,IF(AH4&gt;=0.5,5)))))</f>
        <v>2</v>
      </c>
      <c r="AL4" s="53" t="str">
        <f t="shared" ref="AL4:AL26" si="4">IF(AND(AJ4=1,AK4=1),"COLD",IF(AND(AJ4=5,AK4=5),"TOXIC",IF(AND(AJ4&gt;4,AK4&lt;2),"HOT",IF(AND(AJ4&lt;2,AK4&gt;=4),"TOXIC",IF(AND(AJ4&lt;=3,AK4&lt;3),"IDEAL",IF(AND(AJ4&gt;3,AK4&lt;=3),"HOT",IF(AND(AJ4&lt;3,AK4&gt;2),"POLUTED",IF(AND(AJ4&lt;4,AK4&gt;3),"TOXIC",IF(AND(AJ4&gt;3,AK4&gt;3),"TOXIC",IF(AND(AJ4=3,AK4=3),"IDEAL","NOT"))))))))))</f>
        <v>IDEAL</v>
      </c>
    </row>
    <row r="5" spans="1:38">
      <c r="B5" s="4">
        <v>3</v>
      </c>
      <c r="C5" s="62"/>
      <c r="D5" s="62"/>
      <c r="E5" s="62"/>
      <c r="F5" s="11">
        <f t="shared" si="0"/>
        <v>0</v>
      </c>
      <c r="AD5" s="32">
        <v>2</v>
      </c>
      <c r="AE5" s="35">
        <v>220.22689075630251</v>
      </c>
      <c r="AF5" s="35">
        <v>1.446379882352941</v>
      </c>
      <c r="AG5" s="38">
        <v>9.8946596050420137</v>
      </c>
      <c r="AH5" s="44">
        <f t="shared" ref="AH5:AH26" si="5">AF5/AG5</f>
        <v>0.14617783128344408</v>
      </c>
      <c r="AI5" s="45">
        <f t="shared" si="1"/>
        <v>1.2610359490222147E-2</v>
      </c>
      <c r="AJ5" s="49">
        <f t="shared" si="2"/>
        <v>1</v>
      </c>
      <c r="AK5" s="50">
        <f t="shared" si="3"/>
        <v>3</v>
      </c>
      <c r="AL5" s="53" t="str">
        <f t="shared" si="4"/>
        <v>POLUTED</v>
      </c>
    </row>
    <row r="6" spans="1:38">
      <c r="B6" s="4">
        <v>4</v>
      </c>
      <c r="C6" s="62"/>
      <c r="D6" s="62"/>
      <c r="E6" s="62"/>
      <c r="F6" s="11">
        <f t="shared" si="0"/>
        <v>0</v>
      </c>
      <c r="AD6" s="31">
        <v>3</v>
      </c>
      <c r="AE6" s="34">
        <v>211.67175572519085</v>
      </c>
      <c r="AF6" s="34">
        <v>1.2979556259541982</v>
      </c>
      <c r="AG6" s="39">
        <v>14.723744251908393</v>
      </c>
      <c r="AH6" s="44">
        <f t="shared" si="5"/>
        <v>8.815391002094905E-2</v>
      </c>
      <c r="AI6" s="45">
        <f t="shared" si="1"/>
        <v>1.8035884239873474E-2</v>
      </c>
      <c r="AJ6" s="49">
        <f t="shared" si="2"/>
        <v>1</v>
      </c>
      <c r="AK6" s="50">
        <f t="shared" si="3"/>
        <v>2</v>
      </c>
      <c r="AL6" s="53" t="str">
        <f t="shared" si="4"/>
        <v>IDEAL</v>
      </c>
    </row>
    <row r="7" spans="1:38">
      <c r="B7" s="4">
        <v>5</v>
      </c>
      <c r="C7" s="62"/>
      <c r="D7" s="62"/>
      <c r="E7" s="62"/>
      <c r="F7" s="11">
        <f t="shared" si="0"/>
        <v>0</v>
      </c>
      <c r="AD7" s="31">
        <v>4</v>
      </c>
      <c r="AE7" s="35">
        <v>287.39175257731961</v>
      </c>
      <c r="AF7" s="35">
        <v>1.1726962989690723</v>
      </c>
      <c r="AG7" s="38">
        <v>8.8151737835051538</v>
      </c>
      <c r="AH7" s="44">
        <f t="shared" si="5"/>
        <v>0.13303155760393601</v>
      </c>
      <c r="AI7" s="45">
        <f t="shared" si="1"/>
        <v>1.4660927331685114E-2</v>
      </c>
      <c r="AJ7" s="49">
        <f t="shared" si="2"/>
        <v>1</v>
      </c>
      <c r="AK7" s="50">
        <f t="shared" si="3"/>
        <v>3</v>
      </c>
      <c r="AL7" s="53" t="str">
        <f t="shared" si="4"/>
        <v>POLUTED</v>
      </c>
    </row>
    <row r="8" spans="1:38">
      <c r="B8" s="4">
        <v>6</v>
      </c>
      <c r="C8" s="62"/>
      <c r="D8" s="62"/>
      <c r="E8" s="62"/>
      <c r="F8" s="11">
        <f t="shared" si="0"/>
        <v>0</v>
      </c>
      <c r="AD8" s="32">
        <v>5</v>
      </c>
      <c r="AE8" s="35">
        <v>310.2</v>
      </c>
      <c r="AF8" s="35">
        <v>2.6378468823529411</v>
      </c>
      <c r="AG8" s="38">
        <v>7.6770751058823539</v>
      </c>
      <c r="AH8" s="44">
        <f>AF8/AG8</f>
        <v>0.34360050487610333</v>
      </c>
      <c r="AI8" s="45">
        <f>((AE8*AG8)/3600)/48</f>
        <v>1.3781416075490197E-2</v>
      </c>
      <c r="AJ8" s="49">
        <f t="shared" si="2"/>
        <v>1</v>
      </c>
      <c r="AK8" s="50">
        <f>IF(AH8&lt;0.05,1, IF(AH8&lt;0.1,2,IF(AH8&lt;0.15,3,IF(AH8&lt;0.5,4,IF(AH8&gt;=0.5,5)))))</f>
        <v>4</v>
      </c>
      <c r="AL8" s="53" t="str">
        <f t="shared" si="4"/>
        <v>TOXIC</v>
      </c>
    </row>
    <row r="9" spans="1:38">
      <c r="B9" s="4">
        <v>7</v>
      </c>
      <c r="C9" s="62"/>
      <c r="D9" s="62"/>
      <c r="E9" s="62"/>
      <c r="F9" s="11">
        <f t="shared" si="0"/>
        <v>0</v>
      </c>
      <c r="AD9" s="31">
        <v>6</v>
      </c>
      <c r="AE9" s="34">
        <v>289.85869565217394</v>
      </c>
      <c r="AF9" s="34">
        <v>2.1041663369565216</v>
      </c>
      <c r="AG9" s="39">
        <v>8.5572038043478251</v>
      </c>
      <c r="AH9" s="44">
        <f>AF9/AG9</f>
        <v>0.24589414779246194</v>
      </c>
      <c r="AI9" s="45">
        <f t="shared" si="1"/>
        <v>1.4354050539109266E-2</v>
      </c>
      <c r="AJ9" s="49">
        <f t="shared" si="2"/>
        <v>1</v>
      </c>
      <c r="AK9" s="50">
        <f t="shared" si="3"/>
        <v>4</v>
      </c>
      <c r="AL9" s="53" t="str">
        <f t="shared" si="4"/>
        <v>TOXIC</v>
      </c>
    </row>
    <row r="10" spans="1:38" ht="17" thickBot="1">
      <c r="B10" s="12"/>
      <c r="C10" s="13"/>
      <c r="D10" s="14"/>
      <c r="E10" s="15"/>
      <c r="F10" s="16"/>
      <c r="AD10" s="31">
        <v>7</v>
      </c>
      <c r="AE10" s="35">
        <v>266.29000000000002</v>
      </c>
      <c r="AF10" s="35">
        <v>1.5837558699999994</v>
      </c>
      <c r="AG10" s="38">
        <v>6.6775296900000001</v>
      </c>
      <c r="AH10" s="44">
        <f t="shared" si="5"/>
        <v>0.23717691175102801</v>
      </c>
      <c r="AI10" s="45">
        <f t="shared" si="1"/>
        <v>1.0290274196470488E-2</v>
      </c>
      <c r="AJ10" s="49">
        <f t="shared" si="2"/>
        <v>1</v>
      </c>
      <c r="AK10" s="50">
        <f t="shared" si="3"/>
        <v>4</v>
      </c>
      <c r="AL10" s="53" t="str">
        <f t="shared" si="4"/>
        <v>TOXIC</v>
      </c>
    </row>
    <row r="11" spans="1:38">
      <c r="AD11" s="32">
        <v>8</v>
      </c>
      <c r="AE11" s="35">
        <v>276.26315789473682</v>
      </c>
      <c r="AF11" s="35">
        <v>2.9482223789473698</v>
      </c>
      <c r="AG11" s="38">
        <v>8.2508951368421055</v>
      </c>
      <c r="AH11" s="44">
        <f t="shared" si="5"/>
        <v>0.35732151845960236</v>
      </c>
      <c r="AI11" s="45">
        <f t="shared" si="1"/>
        <v>1.3191078390985688E-2</v>
      </c>
      <c r="AJ11" s="49">
        <f t="shared" si="2"/>
        <v>1</v>
      </c>
      <c r="AK11" s="50">
        <f t="shared" si="3"/>
        <v>4</v>
      </c>
      <c r="AL11" s="53" t="str">
        <f t="shared" si="4"/>
        <v>TOXIC</v>
      </c>
    </row>
    <row r="12" spans="1:38" ht="17" thickBot="1">
      <c r="AD12" s="31">
        <v>9</v>
      </c>
      <c r="AE12" s="34">
        <v>302.97979797979798</v>
      </c>
      <c r="AF12" s="34">
        <v>2.6173309595959604</v>
      </c>
      <c r="AG12" s="39">
        <v>9.2782591616161572</v>
      </c>
      <c r="AH12" s="44">
        <f t="shared" si="5"/>
        <v>0.28209289199678422</v>
      </c>
      <c r="AI12" s="45">
        <f t="shared" si="1"/>
        <v>1.6268084990686767E-2</v>
      </c>
      <c r="AJ12" s="49">
        <f t="shared" si="2"/>
        <v>1</v>
      </c>
      <c r="AK12" s="50">
        <f t="shared" si="3"/>
        <v>4</v>
      </c>
      <c r="AL12" s="53" t="str">
        <f t="shared" si="4"/>
        <v>TOXIC</v>
      </c>
    </row>
    <row r="13" spans="1:38">
      <c r="A13" t="s">
        <v>51</v>
      </c>
      <c r="B13" s="6" t="s">
        <v>17</v>
      </c>
      <c r="C13" s="8" t="s">
        <v>2</v>
      </c>
      <c r="D13" s="7" t="s">
        <v>3</v>
      </c>
      <c r="E13" s="7" t="s">
        <v>4</v>
      </c>
      <c r="F13" s="9" t="s">
        <v>5</v>
      </c>
      <c r="AD13" s="31">
        <v>10</v>
      </c>
      <c r="AE13" s="35">
        <v>87.839622641509436</v>
      </c>
      <c r="AF13" s="35">
        <v>1.6392780723270444</v>
      </c>
      <c r="AG13" s="38">
        <v>57.301608226415048</v>
      </c>
      <c r="AH13" s="44">
        <f t="shared" si="5"/>
        <v>2.8607889430429034E-2</v>
      </c>
      <c r="AI13" s="45">
        <f t="shared" si="1"/>
        <v>2.912819238055504E-2</v>
      </c>
      <c r="AJ13" s="49">
        <f t="shared" si="2"/>
        <v>1</v>
      </c>
      <c r="AK13" s="50">
        <f t="shared" si="3"/>
        <v>1</v>
      </c>
      <c r="AL13" s="53" t="str">
        <f t="shared" si="4"/>
        <v>COLD</v>
      </c>
    </row>
    <row r="14" spans="1:38">
      <c r="B14" s="4">
        <v>0</v>
      </c>
      <c r="C14" s="59"/>
      <c r="D14" s="62"/>
      <c r="E14" s="62"/>
      <c r="F14" s="11">
        <f>D14+E14</f>
        <v>0</v>
      </c>
      <c r="AD14" s="32">
        <v>11</v>
      </c>
      <c r="AE14" s="35">
        <v>129.21296296296296</v>
      </c>
      <c r="AF14" s="35">
        <v>6.5065400277777767</v>
      </c>
      <c r="AG14" s="38">
        <v>41.51080833796297</v>
      </c>
      <c r="AH14" s="44">
        <f t="shared" si="5"/>
        <v>0.15674327454200251</v>
      </c>
      <c r="AI14" s="45">
        <f t="shared" si="1"/>
        <v>3.1040130441758466E-2</v>
      </c>
      <c r="AJ14" s="49">
        <f t="shared" si="2"/>
        <v>1</v>
      </c>
      <c r="AK14" s="50">
        <f t="shared" si="3"/>
        <v>4</v>
      </c>
      <c r="AL14" s="53" t="str">
        <f t="shared" si="4"/>
        <v>TOXIC</v>
      </c>
    </row>
    <row r="15" spans="1:38">
      <c r="B15" s="4">
        <v>1</v>
      </c>
      <c r="C15" s="59"/>
      <c r="D15" s="62"/>
      <c r="E15" s="62"/>
      <c r="F15" s="11">
        <f t="shared" ref="F15:F37" si="6">D15+E15</f>
        <v>0</v>
      </c>
      <c r="AD15" s="31">
        <v>12</v>
      </c>
      <c r="AE15" s="34">
        <v>195.796875</v>
      </c>
      <c r="AF15" s="34">
        <v>3.8503184843749994</v>
      </c>
      <c r="AG15" s="39">
        <v>9.8456815781250029</v>
      </c>
      <c r="AH15" s="44">
        <f t="shared" si="5"/>
        <v>0.39106672847612528</v>
      </c>
      <c r="AI15" s="45">
        <f t="shared" si="1"/>
        <v>1.1155981974779768E-2</v>
      </c>
      <c r="AJ15" s="49">
        <f t="shared" si="2"/>
        <v>1</v>
      </c>
      <c r="AK15" s="50">
        <f t="shared" si="3"/>
        <v>4</v>
      </c>
      <c r="AL15" s="53" t="str">
        <f t="shared" si="4"/>
        <v>TOXIC</v>
      </c>
    </row>
    <row r="16" spans="1:38">
      <c r="B16" s="4">
        <v>2</v>
      </c>
      <c r="C16" s="59"/>
      <c r="D16" s="62"/>
      <c r="E16" s="62"/>
      <c r="F16" s="11">
        <f t="shared" si="6"/>
        <v>0</v>
      </c>
      <c r="AD16" s="31">
        <v>13</v>
      </c>
      <c r="AE16" s="35">
        <v>152.25925925925927</v>
      </c>
      <c r="AF16" s="35">
        <v>2.7448490802469139</v>
      </c>
      <c r="AG16" s="38">
        <v>15.118237783950606</v>
      </c>
      <c r="AH16" s="44">
        <f t="shared" si="5"/>
        <v>0.18155879802081315</v>
      </c>
      <c r="AI16" s="45">
        <f t="shared" si="1"/>
        <v>1.3321132443805929E-2</v>
      </c>
      <c r="AJ16" s="49">
        <f t="shared" si="2"/>
        <v>1</v>
      </c>
      <c r="AK16" s="50">
        <f t="shared" si="3"/>
        <v>4</v>
      </c>
      <c r="AL16" s="53" t="str">
        <f t="shared" si="4"/>
        <v>TOXIC</v>
      </c>
    </row>
    <row r="17" spans="2:38">
      <c r="B17" s="4">
        <v>3</v>
      </c>
      <c r="C17" s="59"/>
      <c r="D17" s="62"/>
      <c r="E17" s="62"/>
      <c r="F17" s="11">
        <f t="shared" si="6"/>
        <v>0</v>
      </c>
      <c r="AD17" s="32">
        <v>14</v>
      </c>
      <c r="AE17" s="35">
        <v>117.79545454545455</v>
      </c>
      <c r="AF17" s="35">
        <v>3.3139982772727281</v>
      </c>
      <c r="AG17" s="38">
        <v>18.229703509090911</v>
      </c>
      <c r="AH17" s="44">
        <f t="shared" si="5"/>
        <v>0.1817911232412574</v>
      </c>
      <c r="AI17" s="45">
        <f t="shared" si="1"/>
        <v>1.2426945665985137E-2</v>
      </c>
      <c r="AJ17" s="49">
        <f t="shared" si="2"/>
        <v>1</v>
      </c>
      <c r="AK17" s="50">
        <f t="shared" si="3"/>
        <v>4</v>
      </c>
      <c r="AL17" s="53" t="str">
        <f t="shared" si="4"/>
        <v>TOXIC</v>
      </c>
    </row>
    <row r="18" spans="2:38">
      <c r="B18" s="4">
        <v>4</v>
      </c>
      <c r="C18" s="59"/>
      <c r="D18" s="62"/>
      <c r="E18" s="62"/>
      <c r="F18" s="11">
        <f t="shared" si="6"/>
        <v>0</v>
      </c>
      <c r="AD18" s="31">
        <v>15</v>
      </c>
      <c r="AE18" s="34">
        <v>115.93032786885246</v>
      </c>
      <c r="AF18" s="34">
        <v>3.5468016598360648</v>
      </c>
      <c r="AG18" s="39">
        <v>25.544736512295067</v>
      </c>
      <c r="AH18" s="44">
        <f t="shared" si="5"/>
        <v>0.13884667231266745</v>
      </c>
      <c r="AI18" s="45">
        <f t="shared" si="1"/>
        <v>1.713778749533457E-2</v>
      </c>
      <c r="AJ18" s="49">
        <f t="shared" si="2"/>
        <v>1</v>
      </c>
      <c r="AK18" s="50">
        <f t="shared" si="3"/>
        <v>3</v>
      </c>
      <c r="AL18" s="53" t="str">
        <f t="shared" si="4"/>
        <v>POLUTED</v>
      </c>
    </row>
    <row r="19" spans="2:38">
      <c r="B19" s="4">
        <v>5</v>
      </c>
      <c r="C19" s="59"/>
      <c r="D19" s="62"/>
      <c r="E19" s="62"/>
      <c r="F19" s="11">
        <f t="shared" si="6"/>
        <v>0</v>
      </c>
      <c r="AD19" s="31">
        <v>16</v>
      </c>
      <c r="AE19" s="35">
        <v>105.12867647058823</v>
      </c>
      <c r="AF19" s="35">
        <v>3.9482859595588224</v>
      </c>
      <c r="AG19" s="38">
        <v>23.889248172794133</v>
      </c>
      <c r="AH19" s="44">
        <f t="shared" si="5"/>
        <v>0.16527460098368693</v>
      </c>
      <c r="AI19" s="45">
        <f t="shared" si="1"/>
        <v>1.4533825476176305E-2</v>
      </c>
      <c r="AJ19" s="49">
        <f t="shared" si="2"/>
        <v>1</v>
      </c>
      <c r="AK19" s="50">
        <f t="shared" si="3"/>
        <v>4</v>
      </c>
      <c r="AL19" s="53" t="str">
        <f t="shared" si="4"/>
        <v>TOXIC</v>
      </c>
    </row>
    <row r="20" spans="2:38">
      <c r="B20" s="4">
        <v>6</v>
      </c>
      <c r="C20" s="59"/>
      <c r="D20" s="62"/>
      <c r="E20" s="62"/>
      <c r="F20" s="11">
        <f t="shared" si="6"/>
        <v>0</v>
      </c>
      <c r="AD20" s="32">
        <v>17</v>
      </c>
      <c r="AE20" s="35">
        <v>95.138686131386862</v>
      </c>
      <c r="AF20" s="35">
        <v>9.6038015072992771</v>
      </c>
      <c r="AG20" s="38">
        <v>27.096392474452561</v>
      </c>
      <c r="AH20" s="44">
        <f t="shared" si="5"/>
        <v>0.35443100096642316</v>
      </c>
      <c r="AI20" s="45">
        <f t="shared" si="1"/>
        <v>1.4918490618748932E-2</v>
      </c>
      <c r="AJ20" s="49">
        <f t="shared" si="2"/>
        <v>1</v>
      </c>
      <c r="AK20" s="50">
        <f t="shared" si="3"/>
        <v>4</v>
      </c>
      <c r="AL20" s="53" t="str">
        <f t="shared" si="4"/>
        <v>TOXIC</v>
      </c>
    </row>
    <row r="21" spans="2:38">
      <c r="B21" s="4">
        <v>7</v>
      </c>
      <c r="C21" s="59"/>
      <c r="D21" s="62"/>
      <c r="E21" s="62"/>
      <c r="F21" s="11">
        <f t="shared" si="6"/>
        <v>0</v>
      </c>
      <c r="AD21" s="31">
        <v>18</v>
      </c>
      <c r="AE21" s="34">
        <v>99.120300751879697</v>
      </c>
      <c r="AF21" s="34">
        <v>3.071707785714286</v>
      </c>
      <c r="AG21" s="39">
        <v>23.750828052631579</v>
      </c>
      <c r="AH21" s="44">
        <f t="shared" si="5"/>
        <v>0.12933055550347192</v>
      </c>
      <c r="AI21" s="45">
        <f t="shared" si="1"/>
        <v>1.3623780206498978E-2</v>
      </c>
      <c r="AJ21" s="49">
        <f t="shared" si="2"/>
        <v>1</v>
      </c>
      <c r="AK21" s="50">
        <f t="shared" si="3"/>
        <v>3</v>
      </c>
      <c r="AL21" s="53" t="str">
        <f t="shared" si="4"/>
        <v>POLUTED</v>
      </c>
    </row>
    <row r="22" spans="2:38">
      <c r="B22" s="4">
        <v>8</v>
      </c>
      <c r="C22" s="59"/>
      <c r="D22" s="62"/>
      <c r="E22" s="62"/>
      <c r="F22" s="11">
        <f t="shared" si="6"/>
        <v>0</v>
      </c>
      <c r="AD22" s="31">
        <v>19</v>
      </c>
      <c r="AE22" s="35">
        <v>107.0398406374502</v>
      </c>
      <c r="AF22" s="35">
        <v>5.0588219043824694</v>
      </c>
      <c r="AG22" s="38">
        <v>21.726338191235037</v>
      </c>
      <c r="AH22" s="44">
        <f t="shared" si="5"/>
        <v>0.23284282237783302</v>
      </c>
      <c r="AI22" s="45">
        <f t="shared" si="1"/>
        <v>1.3458239453849228E-2</v>
      </c>
      <c r="AJ22" s="49">
        <f>IF(AI22&lt;0.25,1,IF(AI22&lt;0.5,2,IF(AI22&lt;0.75,3,IF(AI22&lt;1,4,IF(AI22&gt;1,5)))))</f>
        <v>1</v>
      </c>
      <c r="AK22" s="50">
        <f t="shared" si="3"/>
        <v>4</v>
      </c>
      <c r="AL22" s="53" t="str">
        <f t="shared" si="4"/>
        <v>TOXIC</v>
      </c>
    </row>
    <row r="23" spans="2:38">
      <c r="B23" s="4">
        <v>9</v>
      </c>
      <c r="C23" s="59"/>
      <c r="D23" s="62"/>
      <c r="E23" s="62"/>
      <c r="F23" s="11">
        <f t="shared" si="6"/>
        <v>0</v>
      </c>
      <c r="AD23" s="32">
        <v>20</v>
      </c>
      <c r="AE23" s="35">
        <v>107.04780876494024</v>
      </c>
      <c r="AF23" s="35">
        <v>3.3045189322709168</v>
      </c>
      <c r="AG23" s="38">
        <v>18.499153183266927</v>
      </c>
      <c r="AH23" s="44">
        <f t="shared" si="5"/>
        <v>0.17863082161295682</v>
      </c>
      <c r="AI23" s="45">
        <f t="shared" si="1"/>
        <v>1.1460033635854709E-2</v>
      </c>
      <c r="AJ23" s="49">
        <f t="shared" si="2"/>
        <v>1</v>
      </c>
      <c r="AK23" s="50">
        <f t="shared" si="3"/>
        <v>4</v>
      </c>
      <c r="AL23" s="53" t="str">
        <f t="shared" si="4"/>
        <v>TOXIC</v>
      </c>
    </row>
    <row r="24" spans="2:38">
      <c r="B24" s="4">
        <v>10</v>
      </c>
      <c r="C24" s="59"/>
      <c r="D24" s="62"/>
      <c r="E24" s="62"/>
      <c r="F24" s="11">
        <f t="shared" si="6"/>
        <v>0</v>
      </c>
      <c r="AD24" s="31">
        <v>21</v>
      </c>
      <c r="AE24" s="34">
        <v>118.20704845814979</v>
      </c>
      <c r="AF24" s="34">
        <v>5.9863323303964764</v>
      </c>
      <c r="AG24" s="39">
        <v>15.922050850220256</v>
      </c>
      <c r="AH24" s="44">
        <f t="shared" si="5"/>
        <v>0.37597746588742148</v>
      </c>
      <c r="AI24" s="45">
        <f t="shared" si="1"/>
        <v>1.089177451623328E-2</v>
      </c>
      <c r="AJ24" s="49">
        <f t="shared" si="2"/>
        <v>1</v>
      </c>
      <c r="AK24" s="50">
        <f t="shared" si="3"/>
        <v>4</v>
      </c>
      <c r="AL24" s="53" t="str">
        <f t="shared" si="4"/>
        <v>TOXIC</v>
      </c>
    </row>
    <row r="25" spans="2:38">
      <c r="B25" s="4">
        <v>11</v>
      </c>
      <c r="C25" s="59"/>
      <c r="D25" s="62"/>
      <c r="E25" s="62"/>
      <c r="F25" s="11">
        <f t="shared" si="6"/>
        <v>0</v>
      </c>
      <c r="AD25" s="31">
        <v>22</v>
      </c>
      <c r="AE25" s="35">
        <v>146.60406091370558</v>
      </c>
      <c r="AF25" s="35">
        <v>3.5785645482233486</v>
      </c>
      <c r="AG25" s="38">
        <v>17.568869152284254</v>
      </c>
      <c r="AH25" s="44">
        <f t="shared" si="5"/>
        <v>0.20368781378043754</v>
      </c>
      <c r="AI25" s="45">
        <f t="shared" si="1"/>
        <v>1.4905483584412059E-2</v>
      </c>
      <c r="AJ25" s="49">
        <f t="shared" si="2"/>
        <v>1</v>
      </c>
      <c r="AK25" s="50">
        <f t="shared" si="3"/>
        <v>4</v>
      </c>
      <c r="AL25" s="53" t="str">
        <f t="shared" si="4"/>
        <v>TOXIC</v>
      </c>
    </row>
    <row r="26" spans="2:38" ht="17" thickBot="1">
      <c r="B26" s="4">
        <v>12</v>
      </c>
      <c r="C26" s="59"/>
      <c r="D26" s="62"/>
      <c r="E26" s="62"/>
      <c r="F26" s="11">
        <f t="shared" si="6"/>
        <v>0</v>
      </c>
      <c r="AD26" s="33">
        <v>23</v>
      </c>
      <c r="AE26" s="40">
        <v>173.0654761904762</v>
      </c>
      <c r="AF26" s="40">
        <v>1.7454203988095247</v>
      </c>
      <c r="AG26" s="41">
        <v>11.607178815476193</v>
      </c>
      <c r="AH26" s="46">
        <f t="shared" si="5"/>
        <v>0.15037421466121503</v>
      </c>
      <c r="AI26" s="47">
        <f t="shared" si="1"/>
        <v>1.1625011162780063E-2</v>
      </c>
      <c r="AJ26" s="26">
        <f t="shared" si="2"/>
        <v>1</v>
      </c>
      <c r="AK26" s="51">
        <f t="shared" si="3"/>
        <v>4</v>
      </c>
      <c r="AL26" s="54" t="str">
        <f t="shared" si="4"/>
        <v>TOXIC</v>
      </c>
    </row>
    <row r="27" spans="2:38">
      <c r="B27" s="4">
        <v>13</v>
      </c>
      <c r="C27" s="59"/>
      <c r="D27" s="62"/>
      <c r="E27" s="62"/>
      <c r="F27" s="11">
        <f t="shared" si="6"/>
        <v>0</v>
      </c>
    </row>
    <row r="28" spans="2:38">
      <c r="B28" s="4">
        <v>14</v>
      </c>
      <c r="C28" s="59"/>
      <c r="D28" s="62"/>
      <c r="E28" s="62"/>
      <c r="F28" s="11">
        <f t="shared" si="6"/>
        <v>0</v>
      </c>
    </row>
    <row r="29" spans="2:38">
      <c r="B29" s="4">
        <v>15</v>
      </c>
      <c r="C29" s="59"/>
      <c r="D29" s="62"/>
      <c r="E29" s="62"/>
      <c r="F29" s="11">
        <f t="shared" si="6"/>
        <v>0</v>
      </c>
    </row>
    <row r="30" spans="2:38">
      <c r="B30" s="4">
        <v>16</v>
      </c>
      <c r="C30" s="59"/>
      <c r="D30" s="62"/>
      <c r="E30" s="62"/>
      <c r="F30" s="11">
        <f t="shared" si="6"/>
        <v>0</v>
      </c>
    </row>
    <row r="31" spans="2:38">
      <c r="B31" s="4">
        <v>17</v>
      </c>
      <c r="C31" s="59"/>
      <c r="D31" s="62"/>
      <c r="E31" s="62"/>
      <c r="F31" s="11">
        <f t="shared" si="6"/>
        <v>0</v>
      </c>
    </row>
    <row r="32" spans="2:38">
      <c r="B32" s="4">
        <v>18</v>
      </c>
      <c r="C32" s="59"/>
      <c r="D32" s="62"/>
      <c r="E32" s="62"/>
      <c r="F32" s="11">
        <f t="shared" si="6"/>
        <v>0</v>
      </c>
    </row>
    <row r="33" spans="1:9">
      <c r="B33" s="4">
        <v>19</v>
      </c>
      <c r="C33" s="59"/>
      <c r="D33" s="62"/>
      <c r="E33" s="62"/>
      <c r="F33" s="11">
        <f t="shared" si="6"/>
        <v>0</v>
      </c>
    </row>
    <row r="34" spans="1:9">
      <c r="B34" s="4">
        <v>20</v>
      </c>
      <c r="C34" s="59"/>
      <c r="D34" s="62"/>
      <c r="E34" s="62"/>
      <c r="F34" s="11">
        <f t="shared" si="6"/>
        <v>0</v>
      </c>
    </row>
    <row r="35" spans="1:9">
      <c r="B35" s="4">
        <v>21</v>
      </c>
      <c r="C35" s="59"/>
      <c r="D35" s="62"/>
      <c r="E35" s="62"/>
      <c r="F35" s="11">
        <f t="shared" si="6"/>
        <v>0</v>
      </c>
    </row>
    <row r="36" spans="1:9">
      <c r="B36" s="4">
        <v>22</v>
      </c>
      <c r="C36" s="59"/>
      <c r="D36" s="62"/>
      <c r="E36" s="62"/>
      <c r="F36" s="11">
        <f t="shared" si="6"/>
        <v>0</v>
      </c>
    </row>
    <row r="37" spans="1:9">
      <c r="B37" s="4">
        <v>23</v>
      </c>
      <c r="C37" s="59"/>
      <c r="D37" s="62"/>
      <c r="E37" s="62"/>
      <c r="F37" s="11">
        <f t="shared" si="6"/>
        <v>0</v>
      </c>
    </row>
    <row r="38" spans="1:9" ht="17" thickBot="1">
      <c r="B38" s="12"/>
      <c r="C38" s="13"/>
      <c r="D38" s="13"/>
      <c r="E38" s="14"/>
      <c r="F38" s="18"/>
      <c r="H38" s="5"/>
      <c r="I38" s="5"/>
    </row>
    <row r="39" spans="1:9" ht="17" thickBot="1"/>
    <row r="40" spans="1:9">
      <c r="A40" t="s">
        <v>51</v>
      </c>
      <c r="B40" s="6" t="s">
        <v>21</v>
      </c>
      <c r="C40" s="8" t="s">
        <v>2</v>
      </c>
      <c r="D40" s="8" t="s">
        <v>3</v>
      </c>
      <c r="E40" s="7" t="s">
        <v>4</v>
      </c>
      <c r="F40" s="9" t="s">
        <v>5</v>
      </c>
    </row>
    <row r="41" spans="1:9">
      <c r="B41" s="4" t="s">
        <v>53</v>
      </c>
      <c r="C41" s="10"/>
      <c r="D41" s="17"/>
      <c r="E41" s="17"/>
      <c r="F41" s="11">
        <f>D41+E41</f>
        <v>0</v>
      </c>
    </row>
    <row r="42" spans="1:9">
      <c r="B42" s="4" t="s">
        <v>54</v>
      </c>
      <c r="C42" s="10"/>
      <c r="D42" s="17"/>
      <c r="E42" s="17"/>
      <c r="F42" s="11">
        <f t="shared" ref="F42:F56" si="7">D42+E42</f>
        <v>0</v>
      </c>
    </row>
    <row r="43" spans="1:9">
      <c r="B43" s="4" t="s">
        <v>55</v>
      </c>
      <c r="C43" s="10"/>
      <c r="D43" s="17"/>
      <c r="E43" s="17"/>
      <c r="F43" s="11">
        <f t="shared" si="7"/>
        <v>0</v>
      </c>
    </row>
    <row r="44" spans="1:9">
      <c r="B44" s="4" t="s">
        <v>56</v>
      </c>
      <c r="C44" s="10"/>
      <c r="D44" s="17"/>
      <c r="E44" s="17"/>
      <c r="F44" s="11">
        <f t="shared" si="7"/>
        <v>0</v>
      </c>
    </row>
    <row r="45" spans="1:9">
      <c r="B45" s="4" t="s">
        <v>57</v>
      </c>
      <c r="C45" s="10"/>
      <c r="D45" s="17"/>
      <c r="E45" s="17"/>
      <c r="F45" s="11">
        <f t="shared" si="7"/>
        <v>0</v>
      </c>
    </row>
    <row r="46" spans="1:9">
      <c r="B46" s="4" t="s">
        <v>58</v>
      </c>
      <c r="C46" s="10"/>
      <c r="D46" s="17"/>
      <c r="E46" s="17"/>
      <c r="F46" s="11">
        <f t="shared" si="7"/>
        <v>0</v>
      </c>
    </row>
    <row r="47" spans="1:9">
      <c r="B47" s="4" t="s">
        <v>59</v>
      </c>
      <c r="C47" s="10"/>
      <c r="D47" s="17"/>
      <c r="E47" s="17"/>
      <c r="F47" s="11">
        <f t="shared" si="7"/>
        <v>0</v>
      </c>
    </row>
    <row r="48" spans="1:9">
      <c r="B48" s="4" t="s">
        <v>60</v>
      </c>
      <c r="C48" s="10"/>
      <c r="D48" s="17"/>
      <c r="E48" s="17"/>
      <c r="F48" s="11">
        <f t="shared" si="7"/>
        <v>0</v>
      </c>
    </row>
    <row r="49" spans="1:8">
      <c r="B49" s="4" t="s">
        <v>61</v>
      </c>
      <c r="C49" s="10"/>
      <c r="D49" s="17"/>
      <c r="E49" s="17"/>
      <c r="F49" s="11">
        <f t="shared" si="7"/>
        <v>0</v>
      </c>
    </row>
    <row r="50" spans="1:8">
      <c r="B50" s="4" t="s">
        <v>62</v>
      </c>
      <c r="C50" s="10"/>
      <c r="D50" s="17"/>
      <c r="E50" s="17"/>
      <c r="F50" s="11">
        <f t="shared" si="7"/>
        <v>0</v>
      </c>
    </row>
    <row r="51" spans="1:8">
      <c r="B51" s="4" t="s">
        <v>63</v>
      </c>
      <c r="C51" s="10"/>
      <c r="D51" s="17"/>
      <c r="E51" s="17"/>
      <c r="F51" s="11">
        <f t="shared" si="7"/>
        <v>0</v>
      </c>
    </row>
    <row r="52" spans="1:8">
      <c r="B52" s="4" t="s">
        <v>64</v>
      </c>
      <c r="C52" s="10"/>
      <c r="D52" s="17"/>
      <c r="E52" s="17"/>
      <c r="F52" s="11">
        <f t="shared" si="7"/>
        <v>0</v>
      </c>
    </row>
    <row r="53" spans="1:8">
      <c r="B53" s="4" t="s">
        <v>65</v>
      </c>
      <c r="C53" s="10"/>
      <c r="D53" s="17"/>
      <c r="E53" s="17"/>
      <c r="F53" s="11">
        <f t="shared" si="7"/>
        <v>0</v>
      </c>
    </row>
    <row r="54" spans="1:8">
      <c r="B54" s="4" t="s">
        <v>66</v>
      </c>
      <c r="C54" s="10"/>
      <c r="D54" s="17"/>
      <c r="E54" s="17"/>
      <c r="F54" s="11">
        <f t="shared" si="7"/>
        <v>0</v>
      </c>
    </row>
    <row r="55" spans="1:8">
      <c r="B55" s="4" t="s">
        <v>67</v>
      </c>
      <c r="C55" s="10"/>
      <c r="D55" s="17"/>
      <c r="E55" s="17"/>
      <c r="F55" s="11">
        <f t="shared" si="7"/>
        <v>0</v>
      </c>
    </row>
    <row r="56" spans="1:8">
      <c r="B56" s="4" t="s">
        <v>56</v>
      </c>
      <c r="C56" s="10"/>
      <c r="D56" s="17"/>
      <c r="E56" s="17"/>
      <c r="F56" s="11">
        <f t="shared" si="7"/>
        <v>0</v>
      </c>
    </row>
    <row r="57" spans="1:8" ht="17" thickBot="1">
      <c r="B57" s="12"/>
      <c r="C57" s="13"/>
      <c r="D57" s="13"/>
      <c r="E57" s="14"/>
      <c r="F57" s="18"/>
      <c r="G57" s="2"/>
    </row>
    <row r="58" spans="1:8">
      <c r="B58" s="1"/>
      <c r="C58" s="3"/>
      <c r="D58" s="3"/>
      <c r="E58" s="2"/>
      <c r="F58" s="2"/>
      <c r="G58" s="2"/>
    </row>
    <row r="59" spans="1:8">
      <c r="B59" s="2"/>
      <c r="C59" s="2"/>
      <c r="D59" s="2"/>
      <c r="E59" s="1"/>
      <c r="F59" s="10"/>
      <c r="G59" s="17"/>
      <c r="H59" s="17"/>
    </row>
    <row r="60" spans="1:8">
      <c r="B60" s="1"/>
      <c r="C60" s="3"/>
      <c r="D60" s="3"/>
      <c r="E60" s="3"/>
      <c r="F60" s="2"/>
      <c r="G60" s="2"/>
      <c r="H60" s="2"/>
    </row>
    <row r="61" spans="1:8">
      <c r="A61" s="2"/>
      <c r="B61" s="2"/>
      <c r="C61" s="2"/>
      <c r="D61" s="2"/>
      <c r="E61" s="2"/>
      <c r="F61" s="2"/>
      <c r="G61" s="2"/>
      <c r="H61" s="2"/>
    </row>
    <row r="62" spans="1:8">
      <c r="A62" s="1"/>
      <c r="B62" s="1"/>
      <c r="C62" s="3"/>
      <c r="D62" s="3"/>
      <c r="E62" s="3"/>
      <c r="F62" s="2"/>
      <c r="G62" s="2"/>
      <c r="H62" s="2"/>
    </row>
    <row r="63" spans="1:8">
      <c r="A63" s="1"/>
      <c r="B63" s="1"/>
      <c r="C63" s="3"/>
      <c r="D63" s="3"/>
      <c r="E63" s="3"/>
      <c r="F63" s="2"/>
      <c r="G63" s="2"/>
      <c r="H63" s="2"/>
    </row>
    <row r="64" spans="1:8">
      <c r="A64" s="1"/>
      <c r="B64" s="1"/>
      <c r="C64" s="3"/>
      <c r="D64" s="3"/>
      <c r="E64" s="3"/>
      <c r="F64" s="2"/>
      <c r="G64" s="2"/>
      <c r="H64" s="2"/>
    </row>
    <row r="65" spans="1:9">
      <c r="A65" s="2"/>
      <c r="B65" s="2"/>
      <c r="C65" s="2"/>
      <c r="D65" s="2"/>
      <c r="E65" s="2"/>
      <c r="F65" s="2"/>
      <c r="G65" s="2"/>
      <c r="H65" s="2"/>
    </row>
    <row r="66" spans="1:9">
      <c r="A66" s="2"/>
      <c r="B66" s="2"/>
      <c r="C66" s="2"/>
      <c r="D66" s="2"/>
      <c r="E66" s="2"/>
      <c r="F66" s="2"/>
      <c r="G66" s="2"/>
      <c r="H66" s="2"/>
    </row>
    <row r="67" spans="1:9">
      <c r="A67" s="1"/>
      <c r="B67" s="1"/>
      <c r="C67" s="3"/>
      <c r="D67" s="3"/>
      <c r="E67" s="2"/>
      <c r="F67" s="2"/>
      <c r="G67" s="2"/>
      <c r="H67" s="2"/>
    </row>
    <row r="68" spans="1:9">
      <c r="A68" s="2"/>
      <c r="B68" s="1"/>
      <c r="C68" s="3"/>
      <c r="D68" s="3"/>
      <c r="E68" s="2"/>
      <c r="F68" s="2"/>
      <c r="G68" s="2"/>
      <c r="H68" s="2"/>
      <c r="I68" s="2"/>
    </row>
    <row r="69" spans="1:9">
      <c r="A69" s="1"/>
      <c r="B69" s="1"/>
      <c r="C69" s="3"/>
      <c r="D69" s="3"/>
      <c r="E69" s="2"/>
      <c r="F69" s="2"/>
      <c r="G69" s="2"/>
      <c r="H69" s="2"/>
      <c r="I69" s="2"/>
    </row>
    <row r="70" spans="1:9">
      <c r="A70" s="1"/>
      <c r="B70" s="1"/>
      <c r="C70" s="3"/>
      <c r="D70" s="3"/>
      <c r="E70" s="2"/>
      <c r="F70" s="2"/>
      <c r="G70" s="2"/>
      <c r="H70" s="2"/>
      <c r="I70" s="2"/>
    </row>
    <row r="71" spans="1:9">
      <c r="A71" s="1"/>
      <c r="B71" s="1"/>
      <c r="C71" s="3"/>
      <c r="D71" s="3"/>
      <c r="E71" s="2"/>
      <c r="F71" s="2"/>
      <c r="G71" s="2"/>
      <c r="H71" s="2"/>
      <c r="I71" s="2"/>
    </row>
    <row r="72" spans="1:9">
      <c r="A72" s="1"/>
      <c r="B72" s="1"/>
      <c r="C72" s="3"/>
      <c r="D72" s="3"/>
      <c r="E72" s="2"/>
      <c r="F72" s="2"/>
      <c r="G72" s="2"/>
      <c r="H72" s="2"/>
      <c r="I72" s="2"/>
    </row>
    <row r="73" spans="1:9">
      <c r="A73" s="1"/>
      <c r="B73" s="1"/>
      <c r="C73" s="3"/>
      <c r="D73" s="3"/>
      <c r="E73" s="2"/>
      <c r="F73" s="2"/>
      <c r="G73" s="2"/>
      <c r="H73" s="2"/>
      <c r="I73" s="2"/>
    </row>
    <row r="74" spans="1:9">
      <c r="A74" s="1"/>
      <c r="B74" s="1"/>
      <c r="C74" s="3"/>
      <c r="D74" s="3"/>
      <c r="E74" s="3"/>
      <c r="F74" s="3"/>
      <c r="G74" s="2"/>
      <c r="H74" s="2"/>
      <c r="I74" s="2"/>
    </row>
    <row r="75" spans="1:9">
      <c r="A75" s="1"/>
      <c r="B75" s="1"/>
      <c r="C75" s="3"/>
      <c r="D75" s="3"/>
      <c r="E75" s="3"/>
      <c r="F75" s="3"/>
      <c r="G75" s="2"/>
      <c r="H75" s="2"/>
      <c r="I75" s="2"/>
    </row>
    <row r="76" spans="1:9">
      <c r="A76" s="1"/>
      <c r="B76" s="1"/>
      <c r="C76" s="3"/>
      <c r="D76" s="3"/>
      <c r="E76" s="3"/>
      <c r="F76" s="3"/>
      <c r="G76" s="2"/>
      <c r="H76" s="2"/>
      <c r="I76" s="2"/>
    </row>
    <row r="77" spans="1:9">
      <c r="A77" s="1"/>
      <c r="B77" s="1"/>
      <c r="C77" s="3"/>
      <c r="D77" s="3"/>
      <c r="E77" s="3"/>
      <c r="F77" s="3"/>
      <c r="G77" s="2"/>
      <c r="H77" s="2"/>
      <c r="I77" s="2"/>
    </row>
    <row r="78" spans="1:9">
      <c r="A78" s="1"/>
      <c r="B78" s="1"/>
      <c r="C78" s="3"/>
      <c r="D78" s="3"/>
      <c r="E78" s="3"/>
      <c r="F78" s="3"/>
      <c r="G78" s="2"/>
      <c r="H78" s="2"/>
      <c r="I78" s="2"/>
    </row>
    <row r="79" spans="1:9">
      <c r="A79" s="1"/>
      <c r="B79" s="1"/>
      <c r="C79" s="3"/>
      <c r="D79" s="3"/>
      <c r="E79" s="3"/>
      <c r="F79" s="3"/>
      <c r="G79" s="2"/>
      <c r="H79" s="2"/>
      <c r="I79" s="2"/>
    </row>
    <row r="80" spans="1:9">
      <c r="A80" s="1"/>
      <c r="B80" s="1"/>
      <c r="C80" s="3"/>
      <c r="D80" s="3"/>
      <c r="E80" s="3"/>
      <c r="F80" s="3"/>
      <c r="G80" s="2"/>
      <c r="H80" s="2"/>
      <c r="I80" s="2"/>
    </row>
    <row r="81" spans="1:9">
      <c r="A81" s="1"/>
      <c r="B81" s="1"/>
      <c r="C81" s="3"/>
      <c r="D81" s="3"/>
      <c r="E81" s="3"/>
      <c r="F81" s="3"/>
      <c r="G81" s="2"/>
      <c r="H81" s="2"/>
      <c r="I81" s="2"/>
    </row>
    <row r="82" spans="1:9">
      <c r="A82" s="1"/>
      <c r="B82" s="1"/>
      <c r="C82" s="3"/>
      <c r="D82" s="3"/>
      <c r="E82" s="3"/>
      <c r="F82" s="3"/>
      <c r="G82" s="2"/>
      <c r="H82" s="2"/>
      <c r="I82" s="2"/>
    </row>
    <row r="83" spans="1:9">
      <c r="A83" s="1"/>
      <c r="B83" s="1"/>
      <c r="C83" s="3"/>
      <c r="D83" s="3"/>
      <c r="E83" s="3"/>
      <c r="F83" s="3"/>
      <c r="G83" s="2"/>
      <c r="H83" s="2"/>
      <c r="I83" s="2"/>
    </row>
    <row r="84" spans="1:9">
      <c r="A84" s="1"/>
      <c r="B84" s="1"/>
      <c r="C84" s="3"/>
      <c r="D84" s="2"/>
      <c r="E84" s="2"/>
      <c r="F84" s="2"/>
    </row>
    <row r="85" spans="1:9">
      <c r="A85" s="1"/>
      <c r="B85" s="1"/>
      <c r="C85" s="3"/>
      <c r="D85" s="2"/>
      <c r="E85" s="2"/>
      <c r="F85" s="2"/>
    </row>
    <row r="86" spans="1:9">
      <c r="A86" s="1"/>
      <c r="B86" s="1"/>
      <c r="C86" s="3"/>
      <c r="D86" s="2"/>
      <c r="E86" s="2"/>
      <c r="F86" s="2"/>
    </row>
    <row r="87" spans="1:9">
      <c r="A87" s="1"/>
      <c r="B87" s="1"/>
      <c r="C87" s="3"/>
      <c r="D87" s="2"/>
      <c r="E87" s="2"/>
      <c r="F87" s="2"/>
    </row>
    <row r="88" spans="1:9">
      <c r="A88" s="1"/>
      <c r="B88" s="1"/>
      <c r="C88" s="3"/>
      <c r="D88" s="2"/>
      <c r="E88" s="2"/>
      <c r="F88" s="2"/>
    </row>
    <row r="89" spans="1:9">
      <c r="A89" s="1"/>
      <c r="B89" s="1"/>
      <c r="C89" s="3"/>
      <c r="D89" s="2"/>
      <c r="E89" s="2"/>
      <c r="F89" s="2"/>
    </row>
    <row r="90" spans="1:9">
      <c r="A90" s="1"/>
      <c r="B90" s="1"/>
      <c r="C90" s="3"/>
      <c r="D90" s="2"/>
      <c r="E90" s="2"/>
      <c r="F90" s="2"/>
    </row>
    <row r="91" spans="1:9">
      <c r="A91" s="1"/>
      <c r="B91" s="1"/>
      <c r="C91" s="3"/>
      <c r="D91" s="2"/>
      <c r="E91" s="2"/>
      <c r="F91" s="2"/>
    </row>
    <row r="92" spans="1:9">
      <c r="A92" s="1"/>
      <c r="B92" s="1"/>
      <c r="C92" s="3"/>
      <c r="D92" s="2"/>
      <c r="E92" s="2"/>
      <c r="F92" s="2"/>
    </row>
    <row r="93" spans="1:9">
      <c r="B93" s="1"/>
      <c r="C93" s="3"/>
      <c r="D93" s="2"/>
      <c r="E93" s="2"/>
      <c r="F93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TOPS_BY_RTIME</vt:lpstr>
      <vt:lpstr>TOPS_BY_QTIME</vt:lpstr>
      <vt:lpstr>TOPS_BY_VOLUME</vt:lpstr>
      <vt:lpstr>COMBINED_USERS</vt:lpstr>
      <vt:lpstr>HEATMAP</vt:lpstr>
      <vt:lpstr> APP_RXINSIGHT_PRD_TRI_D   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Duncan Scott Martinson</cp:lastModifiedBy>
  <cp:revision/>
  <dcterms:created xsi:type="dcterms:W3CDTF">2019-02-27T13:03:50Z</dcterms:created>
  <dcterms:modified xsi:type="dcterms:W3CDTF">2024-01-09T21:19:57Z</dcterms:modified>
  <cp:category/>
  <cp:contentStatus/>
</cp:coreProperties>
</file>