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theme/themeOverride6.xml" ContentType="application/vnd.openxmlformats-officedocument.themeOverride+xml"/>
  <Override PartName="/xl/drawings/drawing2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heme/themeOverride10.xml" ContentType="application/vnd.openxmlformats-officedocument.themeOverrid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theme/themeOverride11.xml" ContentType="application/vnd.openxmlformats-officedocument.themeOverrid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heme/themeOverride12.xml" ContentType="application/vnd.openxmlformats-officedocument.themeOverrid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theme/themeOverride13.xml" ContentType="application/vnd.openxmlformats-officedocument.themeOverrid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theme/themeOverride14.xml" ContentType="application/vnd.openxmlformats-officedocument.themeOverrid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theme/themeOverride15.xml" ContentType="application/vnd.openxmlformats-officedocument.themeOverrid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theme/themeOverride16.xml" ContentType="application/vnd.openxmlformats-officedocument.themeOverrid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theme/themeOverride17.xml" ContentType="application/vnd.openxmlformats-officedocument.themeOverrid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theme/themeOverride18.xml" ContentType="application/vnd.openxmlformats-officedocument.themeOverrid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7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duncanscottmartinson/Downloads/IBM_NPS_TRI_D/Templates/"/>
    </mc:Choice>
  </mc:AlternateContent>
  <xr:revisionPtr revIDLastSave="0" documentId="13_ncr:1_{B481AC0B-8F79-D748-8829-D2D1AE43D45A}" xr6:coauthVersionLast="47" xr6:coauthVersionMax="47" xr10:uidLastSave="{00000000-0000-0000-0000-000000000000}"/>
  <bookViews>
    <workbookView xWindow="0" yWindow="760" windowWidth="33600" windowHeight="19880" xr2:uid="{9457B062-4FFD-3D40-82AE-93727E638F8A}"/>
  </bookViews>
  <sheets>
    <sheet name="Level1" sheetId="4" r:id="rId1"/>
    <sheet name="Graphs - Pain Index" sheetId="8" state="hidden" r:id="rId2"/>
    <sheet name="Month Buckets " sheetId="7" state="hidden" r:id="rId3"/>
    <sheet name="DOW Buckets" sheetId="9" state="hidden" r:id="rId4"/>
    <sheet name="Hour Buckets" sheetId="1" state="hidden" r:id="rId5"/>
  </sheets>
  <definedNames>
    <definedName name="query_by_hr_b" localSheetId="4">'Hour Buckets'!#REF!</definedName>
    <definedName name="query_by_mth_b" localSheetId="2">'Month Buckets 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53" i="4" l="1"/>
  <c r="F50" i="4"/>
  <c r="F51" i="4"/>
  <c r="F52" i="4"/>
  <c r="F54" i="4"/>
  <c r="F55" i="4"/>
  <c r="B69" i="4"/>
  <c r="B68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B67" i="4" l="1"/>
  <c r="B66" i="4"/>
  <c r="B65" i="4"/>
  <c r="B64" i="4"/>
  <c r="B63" i="4"/>
  <c r="B62" i="4"/>
  <c r="B61" i="4"/>
  <c r="B60" i="4"/>
  <c r="B59" i="4"/>
  <c r="B58" i="4"/>
  <c r="B57" i="4"/>
  <c r="B56" i="4"/>
  <c r="F49" i="4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EC90687-6615-4BC0-8393-E2EA6EC0D6B9}" keepAlive="1" name="Query - qh-query-day" description="Connection to the 'qh-query-day' query in the workbook." type="5" refreshedVersion="6" background="1" saveData="1">
    <dbPr connection="Provider=Microsoft.Mashup.OleDb.1;Data Source=$Workbook$;Location=qh-query-day;Extended Properties=&quot;&quot;" command="SELECT * FROM [qh-query-day]"/>
  </connection>
  <connection id="2" xr16:uid="{463C6047-EAC3-4559-BCFC-86E38331CFF2}" keepAlive="1" name="Query - qh-query-day (2)" description="Connection to the 'qh-query-day (2)' query in the workbook." type="5" refreshedVersion="6" background="1">
    <dbPr connection="Provider=Microsoft.Mashup.OleDb.1;Data Source=$Workbook$;Location=&quot;qh-query-day (2)&quot;;Extended Properties=&quot;&quot;" command="SELECT * FROM [qh-query-day (2)]"/>
  </connection>
</connections>
</file>

<file path=xl/sharedStrings.xml><?xml version="1.0" encoding="utf-8"?>
<sst xmlns="http://schemas.openxmlformats.org/spreadsheetml/2006/main" count="64" uniqueCount="39">
  <si>
    <t xml:space="preserve">All Days </t>
  </si>
  <si>
    <t>All Days</t>
  </si>
  <si>
    <t>Month</t>
  </si>
  <si>
    <t>Ave_By_Hour</t>
  </si>
  <si>
    <t>Q_AVE</t>
  </si>
  <si>
    <t>R_AVE</t>
  </si>
  <si>
    <t>Day</t>
  </si>
  <si>
    <t>Ave Cnt By Hr</t>
  </si>
  <si>
    <t>Hour</t>
  </si>
  <si>
    <t>Ave By Hour</t>
  </si>
  <si>
    <t>Target_Q</t>
  </si>
  <si>
    <t>Ledger</t>
  </si>
  <si>
    <t>Sunday</t>
  </si>
  <si>
    <t>Average (Full timeframe)</t>
  </si>
  <si>
    <t>Monday</t>
  </si>
  <si>
    <t>Q_Time (Full timeframe)</t>
  </si>
  <si>
    <t>Tuesday</t>
  </si>
  <si>
    <t>Wendsday</t>
  </si>
  <si>
    <t>Thursday</t>
  </si>
  <si>
    <t>Friday</t>
  </si>
  <si>
    <t>Saturday</t>
  </si>
  <si>
    <t xml:space="preserve">Query Demand &amp; Performance for </t>
  </si>
  <si>
    <t xml:space="preserve">&gt;60 seconds </t>
  </si>
  <si>
    <t>(low end pain)</t>
  </si>
  <si>
    <t xml:space="preserve">&gt;300 seconds </t>
  </si>
  <si>
    <t>(mid-range pain)</t>
  </si>
  <si>
    <t>&gt;600 seconds</t>
  </si>
  <si>
    <t xml:space="preserve"> (mid-range pain)</t>
  </si>
  <si>
    <t xml:space="preserve">&gt;1200 seconds </t>
  </si>
  <si>
    <t>(high-end pain)</t>
  </si>
  <si>
    <t>Cnt &gt;60 Secs</t>
  </si>
  <si>
    <t>&gt;300</t>
  </si>
  <si>
    <t>&gt;600</t>
  </si>
  <si>
    <t>&gt;1200</t>
  </si>
  <si>
    <t>&gt;60</t>
  </si>
  <si>
    <t>Acceptable Pain</t>
  </si>
  <si>
    <t>Observed Pain</t>
  </si>
  <si>
    <t>Wednesday</t>
  </si>
  <si>
    <r>
      <t xml:space="preserve">Query Demand &amp; Performance for </t>
    </r>
    <r>
      <rPr>
        <b/>
        <sz val="18"/>
        <color rgb="FFFF0000"/>
        <rFont val="Calibri (Body)"/>
      </rPr>
      <t>SYSTEM NAME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</si>
</sst>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43" formatCode="_(* #,##0.00_);_(* \(#,##0.00\);_(* &quot;-&quot;??_);_(@_)"/>
    <numFmt numFmtId="164" formatCode="_(* #,##0_);_(* \(#,##0\);_(* &quot;-&quot;??_);_(@_)"/>
    <numFmt numFmtId="165" formatCode="0.0%"/>
    <numFmt numFmtId="166" formatCode="0.0"/>
    <numFmt numFmtId="167" formatCode="[$-409]mmm\-yy;@"/>
  </numFmts>
  <fonts count="19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.AppleSystemUIFont"/>
    </font>
    <font>
      <b/>
      <sz val="12"/>
      <color theme="1"/>
      <name val=".AppleSystemUIFont"/>
    </font>
    <font>
      <sz val="12"/>
      <color theme="1"/>
      <name val="Helvetica"/>
      <family val="2"/>
    </font>
    <font>
      <b/>
      <sz val="16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2"/>
      <color rgb="FF454545"/>
      <name val=".AppleSystemUIFont"/>
    </font>
    <font>
      <b/>
      <sz val="12"/>
      <color rgb="FF00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10"/>
      <color rgb="FF000000"/>
      <name val="Helvetica Neue"/>
      <family val="2"/>
    </font>
    <font>
      <b/>
      <sz val="18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sz val="12"/>
      <color rgb="FFFF0000"/>
      <name val="Calibri (Body)"/>
    </font>
    <font>
      <sz val="24"/>
      <color rgb="FF000000"/>
      <name val="Calibri"/>
      <family val="2"/>
    </font>
    <font>
      <b/>
      <sz val="18"/>
      <color rgb="FFFF0000"/>
      <name val="Calibri (Body)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</fills>
  <borders count="35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auto="1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thin">
        <color auto="1"/>
      </top>
      <bottom/>
      <diagonal/>
    </border>
  </borders>
  <cellStyleXfs count="3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39">
    <xf numFmtId="0" fontId="0" fillId="0" borderId="0" xfId="0"/>
    <xf numFmtId="0" fontId="4" fillId="0" borderId="0" xfId="0" applyFont="1"/>
    <xf numFmtId="0" fontId="3" fillId="0" borderId="0" xfId="0" applyFont="1"/>
    <xf numFmtId="1" fontId="0" fillId="0" borderId="0" xfId="0" applyNumberFormat="1"/>
    <xf numFmtId="16" fontId="2" fillId="0" borderId="0" xfId="0" applyNumberFormat="1" applyFont="1" applyAlignment="1">
      <alignment horizontal="center"/>
    </xf>
    <xf numFmtId="9" fontId="0" fillId="0" borderId="0" xfId="2" applyFont="1" applyAlignment="1">
      <alignment horizontal="center" vertical="center" wrapText="1"/>
    </xf>
    <xf numFmtId="164" fontId="0" fillId="0" borderId="0" xfId="1" applyNumberFormat="1" applyFont="1" applyAlignment="1">
      <alignment vertical="center" wrapText="1"/>
    </xf>
    <xf numFmtId="164" fontId="0" fillId="0" borderId="0" xfId="1" applyNumberFormat="1" applyFont="1"/>
    <xf numFmtId="43" fontId="3" fillId="0" borderId="0" xfId="1" applyFont="1"/>
    <xf numFmtId="49" fontId="0" fillId="0" borderId="2" xfId="0" applyNumberFormat="1" applyBorder="1"/>
    <xf numFmtId="0" fontId="5" fillId="0" borderId="0" xfId="0" applyFont="1"/>
    <xf numFmtId="3" fontId="3" fillId="0" borderId="0" xfId="0" applyNumberFormat="1" applyFont="1"/>
    <xf numFmtId="2" fontId="0" fillId="0" borderId="0" xfId="2" applyNumberFormat="1" applyFont="1" applyBorder="1"/>
    <xf numFmtId="0" fontId="0" fillId="0" borderId="0" xfId="0" applyAlignment="1">
      <alignment horizontal="center"/>
    </xf>
    <xf numFmtId="1" fontId="0" fillId="0" borderId="5" xfId="0" applyNumberFormat="1" applyBorder="1" applyAlignment="1">
      <alignment horizontal="center" vertical="center" wrapText="1"/>
    </xf>
    <xf numFmtId="1" fontId="0" fillId="0" borderId="6" xfId="0" applyNumberFormat="1" applyBorder="1" applyAlignment="1">
      <alignment horizontal="center" vertical="center" wrapText="1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1" fontId="0" fillId="0" borderId="6" xfId="0" applyNumberFormat="1" applyBorder="1"/>
    <xf numFmtId="1" fontId="0" fillId="0" borderId="7" xfId="0" applyNumberFormat="1" applyBorder="1"/>
    <xf numFmtId="9" fontId="0" fillId="0" borderId="0" xfId="0" applyNumberFormat="1"/>
    <xf numFmtId="10" fontId="0" fillId="0" borderId="0" xfId="0" applyNumberFormat="1"/>
    <xf numFmtId="164" fontId="0" fillId="0" borderId="6" xfId="1" applyNumberFormat="1" applyFont="1" applyBorder="1"/>
    <xf numFmtId="167" fontId="0" fillId="0" borderId="6" xfId="0" applyNumberFormat="1" applyBorder="1"/>
    <xf numFmtId="167" fontId="0" fillId="0" borderId="7" xfId="0" applyNumberFormat="1" applyBorder="1"/>
    <xf numFmtId="0" fontId="2" fillId="0" borderId="0" xfId="0" applyFont="1" applyAlignment="1">
      <alignment horizontal="center"/>
    </xf>
    <xf numFmtId="167" fontId="0" fillId="0" borderId="0" xfId="0" applyNumberFormat="1"/>
    <xf numFmtId="166" fontId="0" fillId="0" borderId="0" xfId="0" applyNumberFormat="1"/>
    <xf numFmtId="0" fontId="2" fillId="2" borderId="1" xfId="0" applyFont="1" applyFill="1" applyBorder="1" applyAlignment="1">
      <alignment horizontal="center"/>
    </xf>
    <xf numFmtId="16" fontId="7" fillId="0" borderId="0" xfId="0" applyNumberFormat="1" applyFont="1"/>
    <xf numFmtId="16" fontId="6" fillId="0" borderId="0" xfId="0" applyNumberFormat="1" applyFont="1" applyAlignment="1">
      <alignment horizontal="left"/>
    </xf>
    <xf numFmtId="0" fontId="9" fillId="0" borderId="0" xfId="0" applyFont="1"/>
    <xf numFmtId="0" fontId="10" fillId="0" borderId="0" xfId="0" applyFont="1"/>
    <xf numFmtId="0" fontId="11" fillId="0" borderId="0" xfId="0" applyFont="1"/>
    <xf numFmtId="16" fontId="7" fillId="3" borderId="0" xfId="0" applyNumberFormat="1" applyFont="1" applyFill="1"/>
    <xf numFmtId="16" fontId="6" fillId="3" borderId="0" xfId="0" applyNumberFormat="1" applyFont="1" applyFill="1" applyAlignment="1">
      <alignment horizontal="left"/>
    </xf>
    <xf numFmtId="16" fontId="6" fillId="3" borderId="0" xfId="0" applyNumberFormat="1" applyFont="1" applyFill="1"/>
    <xf numFmtId="16" fontId="12" fillId="3" borderId="0" xfId="0" applyNumberFormat="1" applyFont="1" applyFill="1"/>
    <xf numFmtId="0" fontId="2" fillId="0" borderId="0" xfId="0" applyFont="1"/>
    <xf numFmtId="0" fontId="0" fillId="0" borderId="9" xfId="0" applyBorder="1" applyAlignment="1">
      <alignment horizontal="center" vertical="center" wrapText="1"/>
    </xf>
    <xf numFmtId="0" fontId="0" fillId="0" borderId="6" xfId="0" applyBorder="1" applyAlignment="1">
      <alignment horizontal="center" vertical="center" wrapText="1"/>
    </xf>
    <xf numFmtId="0" fontId="2" fillId="2" borderId="8" xfId="0" applyFont="1" applyFill="1" applyBorder="1" applyAlignment="1">
      <alignment horizontal="center"/>
    </xf>
    <xf numFmtId="0" fontId="2" fillId="2" borderId="17" xfId="0" applyFont="1" applyFill="1" applyBorder="1" applyAlignment="1">
      <alignment horizontal="center"/>
    </xf>
    <xf numFmtId="0" fontId="2" fillId="2" borderId="19" xfId="0" applyFont="1" applyFill="1" applyBorder="1" applyAlignment="1">
      <alignment horizontal="center"/>
    </xf>
    <xf numFmtId="0" fontId="2" fillId="2" borderId="20" xfId="0" applyFont="1" applyFill="1" applyBorder="1" applyAlignment="1">
      <alignment horizontal="center"/>
    </xf>
    <xf numFmtId="164" fontId="0" fillId="0" borderId="0" xfId="1" applyNumberFormat="1" applyFont="1" applyBorder="1"/>
    <xf numFmtId="1" fontId="2" fillId="4" borderId="10" xfId="0" applyNumberFormat="1" applyFont="1" applyFill="1" applyBorder="1"/>
    <xf numFmtId="1" fontId="0" fillId="4" borderId="11" xfId="0" applyNumberFormat="1" applyFill="1" applyBorder="1"/>
    <xf numFmtId="1" fontId="0" fillId="4" borderId="12" xfId="0" applyNumberFormat="1" applyFill="1" applyBorder="1"/>
    <xf numFmtId="0" fontId="0" fillId="4" borderId="11" xfId="0" applyFill="1" applyBorder="1"/>
    <xf numFmtId="0" fontId="0" fillId="4" borderId="12" xfId="0" applyFill="1" applyBorder="1"/>
    <xf numFmtId="0" fontId="0" fillId="0" borderId="23" xfId="0" applyBorder="1"/>
    <xf numFmtId="0" fontId="2" fillId="0" borderId="23" xfId="0" applyFont="1" applyBorder="1"/>
    <xf numFmtId="0" fontId="2" fillId="0" borderId="1" xfId="0" applyFont="1" applyBorder="1"/>
    <xf numFmtId="0" fontId="2" fillId="0" borderId="24" xfId="0" applyFont="1" applyBorder="1"/>
    <xf numFmtId="164" fontId="0" fillId="0" borderId="0" xfId="1" applyNumberFormat="1" applyFont="1" applyBorder="1" applyAlignment="1">
      <alignment vertical="center" wrapText="1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9" fontId="2" fillId="2" borderId="3" xfId="2" applyFont="1" applyFill="1" applyBorder="1" applyAlignment="1">
      <alignment horizontal="center"/>
    </xf>
    <xf numFmtId="165" fontId="2" fillId="2" borderId="3" xfId="2" applyNumberFormat="1" applyFont="1" applyFill="1" applyBorder="1" applyAlignment="1">
      <alignment horizontal="center"/>
    </xf>
    <xf numFmtId="0" fontId="0" fillId="0" borderId="18" xfId="0" applyBorder="1"/>
    <xf numFmtId="0" fontId="2" fillId="0" borderId="18" xfId="0" applyFont="1" applyBorder="1"/>
    <xf numFmtId="0" fontId="2" fillId="0" borderId="21" xfId="0" applyFont="1" applyBorder="1"/>
    <xf numFmtId="0" fontId="2" fillId="0" borderId="22" xfId="0" applyFont="1" applyBorder="1"/>
    <xf numFmtId="0" fontId="2" fillId="4" borderId="10" xfId="0" applyFont="1" applyFill="1" applyBorder="1"/>
    <xf numFmtId="0" fontId="13" fillId="0" borderId="0" xfId="0" applyFont="1"/>
    <xf numFmtId="1" fontId="0" fillId="0" borderId="0" xfId="0" applyNumberFormat="1" applyAlignment="1">
      <alignment horizontal="center" vertical="center" wrapText="1"/>
    </xf>
    <xf numFmtId="2" fontId="0" fillId="0" borderId="0" xfId="0" applyNumberFormat="1"/>
    <xf numFmtId="2" fontId="10" fillId="0" borderId="0" xfId="0" applyNumberFormat="1" applyFont="1"/>
    <xf numFmtId="43" fontId="3" fillId="0" borderId="0" xfId="1" applyFont="1" applyFill="1" applyBorder="1"/>
    <xf numFmtId="2" fontId="9" fillId="0" borderId="0" xfId="0" applyNumberFormat="1" applyFont="1"/>
    <xf numFmtId="0" fontId="0" fillId="0" borderId="0" xfId="0" applyAlignment="1">
      <alignment horizontal="center" vertical="center" wrapText="1"/>
    </xf>
    <xf numFmtId="0" fontId="0" fillId="0" borderId="15" xfId="0" applyBorder="1"/>
    <xf numFmtId="0" fontId="0" fillId="0" borderId="2" xfId="0" applyBorder="1"/>
    <xf numFmtId="0" fontId="0" fillId="0" borderId="14" xfId="0" applyBorder="1"/>
    <xf numFmtId="0" fontId="2" fillId="2" borderId="9" xfId="0" applyFont="1" applyFill="1" applyBorder="1" applyAlignment="1">
      <alignment horizontal="center"/>
    </xf>
    <xf numFmtId="2" fontId="0" fillId="0" borderId="9" xfId="0" applyNumberFormat="1" applyBorder="1" applyAlignment="1">
      <alignment horizontal="right"/>
    </xf>
    <xf numFmtId="2" fontId="0" fillId="0" borderId="6" xfId="0" applyNumberFormat="1" applyBorder="1" applyAlignment="1">
      <alignment horizontal="right"/>
    </xf>
    <xf numFmtId="2" fontId="0" fillId="0" borderId="7" xfId="0" applyNumberFormat="1" applyBorder="1" applyAlignment="1">
      <alignment horizontal="right"/>
    </xf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6" xfId="0" applyBorder="1"/>
    <xf numFmtId="1" fontId="0" fillId="0" borderId="11" xfId="0" applyNumberFormat="1" applyBorder="1"/>
    <xf numFmtId="1" fontId="0" fillId="0" borderId="15" xfId="0" applyNumberFormat="1" applyBorder="1"/>
    <xf numFmtId="0" fontId="10" fillId="0" borderId="10" xfId="0" applyFont="1" applyBorder="1"/>
    <xf numFmtId="0" fontId="10" fillId="0" borderId="11" xfId="0" applyFont="1" applyBorder="1"/>
    <xf numFmtId="0" fontId="10" fillId="0" borderId="12" xfId="0" applyFont="1" applyBorder="1"/>
    <xf numFmtId="0" fontId="10" fillId="0" borderId="2" xfId="0" applyFont="1" applyBorder="1"/>
    <xf numFmtId="0" fontId="10" fillId="0" borderId="13" xfId="0" applyFont="1" applyBorder="1"/>
    <xf numFmtId="0" fontId="10" fillId="0" borderId="14" xfId="0" applyFont="1" applyBorder="1"/>
    <xf numFmtId="0" fontId="10" fillId="0" borderId="15" xfId="0" applyFont="1" applyBorder="1"/>
    <xf numFmtId="0" fontId="10" fillId="0" borderId="16" xfId="0" applyFont="1" applyBorder="1"/>
    <xf numFmtId="1" fontId="0" fillId="0" borderId="12" xfId="0" applyNumberFormat="1" applyBorder="1"/>
    <xf numFmtId="1" fontId="0" fillId="0" borderId="13" xfId="0" applyNumberFormat="1" applyBorder="1"/>
    <xf numFmtId="1" fontId="0" fillId="0" borderId="16" xfId="0" applyNumberFormat="1" applyBorder="1"/>
    <xf numFmtId="0" fontId="8" fillId="0" borderId="0" xfId="0" applyFont="1"/>
    <xf numFmtId="16" fontId="0" fillId="0" borderId="0" xfId="0" applyNumberFormat="1"/>
    <xf numFmtId="17" fontId="0" fillId="0" borderId="0" xfId="0" applyNumberFormat="1"/>
    <xf numFmtId="14" fontId="0" fillId="0" borderId="0" xfId="0" applyNumberFormat="1"/>
    <xf numFmtId="14" fontId="2" fillId="0" borderId="0" xfId="0" applyNumberFormat="1" applyFont="1"/>
    <xf numFmtId="0" fontId="15" fillId="0" borderId="0" xfId="0" applyFont="1"/>
    <xf numFmtId="0" fontId="0" fillId="0" borderId="25" xfId="0" applyBorder="1"/>
    <xf numFmtId="0" fontId="14" fillId="0" borderId="26" xfId="0" applyFont="1" applyBorder="1"/>
    <xf numFmtId="0" fontId="2" fillId="2" borderId="27" xfId="0" applyFont="1" applyFill="1" applyBorder="1" applyAlignment="1">
      <alignment horizontal="center"/>
    </xf>
    <xf numFmtId="0" fontId="2" fillId="2" borderId="28" xfId="0" applyFont="1" applyFill="1" applyBorder="1" applyAlignment="1">
      <alignment horizontal="center"/>
    </xf>
    <xf numFmtId="0" fontId="2" fillId="2" borderId="29" xfId="0" applyFont="1" applyFill="1" applyBorder="1" applyAlignment="1">
      <alignment horizontal="center"/>
    </xf>
    <xf numFmtId="0" fontId="2" fillId="0" borderId="27" xfId="0" applyFont="1" applyBorder="1" applyAlignment="1">
      <alignment horizontal="left"/>
    </xf>
    <xf numFmtId="0" fontId="2" fillId="0" borderId="28" xfId="0" applyFont="1" applyBorder="1" applyAlignment="1">
      <alignment horizontal="left"/>
    </xf>
    <xf numFmtId="0" fontId="2" fillId="0" borderId="29" xfId="0" applyFont="1" applyBorder="1" applyAlignment="1">
      <alignment horizontal="left"/>
    </xf>
    <xf numFmtId="43" fontId="0" fillId="0" borderId="0" xfId="0" applyNumberFormat="1"/>
    <xf numFmtId="0" fontId="16" fillId="0" borderId="0" xfId="0" applyFont="1"/>
    <xf numFmtId="0" fontId="2" fillId="2" borderId="30" xfId="0" applyFont="1" applyFill="1" applyBorder="1" applyAlignment="1">
      <alignment horizontal="center"/>
    </xf>
    <xf numFmtId="0" fontId="2" fillId="2" borderId="31" xfId="0" applyFont="1" applyFill="1" applyBorder="1" applyAlignment="1">
      <alignment horizontal="center"/>
    </xf>
    <xf numFmtId="2" fontId="0" fillId="0" borderId="12" xfId="0" applyNumberFormat="1" applyBorder="1"/>
    <xf numFmtId="2" fontId="0" fillId="0" borderId="13" xfId="0" applyNumberFormat="1" applyBorder="1"/>
    <xf numFmtId="2" fontId="0" fillId="0" borderId="16" xfId="0" applyNumberFormat="1" applyBorder="1"/>
    <xf numFmtId="2" fontId="14" fillId="0" borderId="0" xfId="0" applyNumberFormat="1" applyFont="1" applyAlignment="1">
      <alignment vertical="center" wrapText="1"/>
    </xf>
    <xf numFmtId="16" fontId="6" fillId="0" borderId="0" xfId="0" applyNumberFormat="1" applyFont="1"/>
    <xf numFmtId="0" fontId="2" fillId="2" borderId="9" xfId="0" applyFont="1" applyFill="1" applyBorder="1" applyAlignment="1">
      <alignment horizontal="right"/>
    </xf>
    <xf numFmtId="2" fontId="0" fillId="0" borderId="26" xfId="0" applyNumberFormat="1" applyBorder="1" applyAlignment="1">
      <alignment horizontal="right"/>
    </xf>
    <xf numFmtId="2" fontId="0" fillId="0" borderId="32" xfId="0" applyNumberFormat="1" applyBorder="1" applyAlignment="1">
      <alignment horizontal="right"/>
    </xf>
    <xf numFmtId="2" fontId="0" fillId="0" borderId="33" xfId="0" applyNumberFormat="1" applyBorder="1" applyAlignment="1">
      <alignment horizontal="right"/>
    </xf>
    <xf numFmtId="2" fontId="0" fillId="0" borderId="13" xfId="2" applyNumberFormat="1" applyFont="1" applyBorder="1"/>
    <xf numFmtId="0" fontId="2" fillId="2" borderId="23" xfId="0" applyFont="1" applyFill="1" applyBorder="1" applyAlignment="1">
      <alignment horizontal="center"/>
    </xf>
    <xf numFmtId="17" fontId="0" fillId="0" borderId="2" xfId="0" applyNumberFormat="1" applyBorder="1"/>
    <xf numFmtId="17" fontId="0" fillId="0" borderId="34" xfId="0" applyNumberFormat="1" applyBorder="1"/>
    <xf numFmtId="167" fontId="0" fillId="0" borderId="2" xfId="0" applyNumberFormat="1" applyBorder="1"/>
    <xf numFmtId="167" fontId="0" fillId="0" borderId="14" xfId="0" applyNumberFormat="1" applyBorder="1"/>
    <xf numFmtId="43" fontId="0" fillId="0" borderId="15" xfId="0" applyNumberFormat="1" applyBorder="1"/>
    <xf numFmtId="0" fontId="2" fillId="2" borderId="24" xfId="0" applyFont="1" applyFill="1" applyBorder="1" applyAlignment="1">
      <alignment horizontal="center"/>
    </xf>
    <xf numFmtId="16" fontId="2" fillId="4" borderId="14" xfId="0" applyNumberFormat="1" applyFont="1" applyFill="1" applyBorder="1" applyAlignment="1">
      <alignment horizontal="center"/>
    </xf>
    <xf numFmtId="16" fontId="2" fillId="4" borderId="15" xfId="0" applyNumberFormat="1" applyFont="1" applyFill="1" applyBorder="1" applyAlignment="1">
      <alignment horizontal="center"/>
    </xf>
    <xf numFmtId="16" fontId="2" fillId="4" borderId="16" xfId="0" applyNumberFormat="1" applyFont="1" applyFill="1" applyBorder="1" applyAlignment="1">
      <alignment horizontal="center"/>
    </xf>
    <xf numFmtId="16" fontId="2" fillId="0" borderId="15" xfId="0" applyNumberFormat="1" applyFont="1" applyBorder="1" applyAlignment="1">
      <alignment horizontal="center"/>
    </xf>
    <xf numFmtId="0" fontId="0" fillId="0" borderId="9" xfId="0" applyBorder="1"/>
    <xf numFmtId="0" fontId="0" fillId="0" borderId="6" xfId="0" applyBorder="1"/>
    <xf numFmtId="0" fontId="0" fillId="0" borderId="7" xfId="0" applyBorder="1"/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colors>
    <mruColors>
      <color rgb="FF7EAB55"/>
      <color rgb="FFF6C243"/>
      <color rgb="FF4572B9"/>
      <color rgb="FF3872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connections" Target="connection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1.xml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.xml"/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2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3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4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5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7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8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9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0.xml"/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1.xml"/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3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4.xml"/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5.xml"/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6.xml"/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7.xml"/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3" Type="http://schemas.openxmlformats.org/officeDocument/2006/relationships/themeOverride" Target="../theme/themeOverride18.xml"/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(1)</a:t>
            </a:r>
            <a:r>
              <a:rPr lang="en-US" sz="1200" baseline="0">
                <a:solidFill>
                  <a:schemeClr val="tx1"/>
                </a:solidFill>
              </a:rPr>
              <a:t> </a:t>
            </a:r>
            <a:r>
              <a:rPr lang="en-US" sz="1200">
                <a:solidFill>
                  <a:schemeClr val="tx1"/>
                </a:solidFill>
              </a:rPr>
              <a:t>average</a:t>
            </a:r>
            <a:r>
              <a:rPr lang="en-US" sz="1200" baseline="0">
                <a:solidFill>
                  <a:schemeClr val="tx1"/>
                </a:solidFill>
              </a:rPr>
              <a:t> query volume by month </a:t>
            </a:r>
          </a:p>
        </c:rich>
      </c:tx>
      <c:layout>
        <c:manualLayout>
          <c:xMode val="edge"/>
          <c:yMode val="edge"/>
          <c:x val="0.23640216526777533"/>
          <c:y val="4.9660085836350468E-2"/>
        </c:manualLayout>
      </c:layout>
      <c:overlay val="0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Average Volume</c:v>
          </c:tx>
          <c:spPr>
            <a:ln w="38100" cap="flat" cmpd="dbl" algn="ctr">
              <a:solidFill>
                <a:srgbClr val="7030A0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ysClr val="windowText" lastClr="00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Level1!$A$40:$A$53</c:f>
              <c:numCache>
                <c:formatCode>mmm\-yy</c:formatCode>
                <c:ptCount val="14"/>
              </c:numCache>
            </c:numRef>
          </c:cat>
          <c:val>
            <c:numRef>
              <c:f>Level1!$B$40:$B$53</c:f>
              <c:numCache>
                <c:formatCode>General</c:formatCode>
                <c:ptCount val="1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1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ysClr val="window" lastClr="FFFFFF"/>
          </a:solidFill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15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(4) Average QUERY</a:t>
            </a:r>
            <a:r>
              <a:rPr lang="en-US" sz="1200" baseline="0">
                <a:solidFill>
                  <a:schemeClr val="tx1"/>
                </a:solidFill>
              </a:rPr>
              <a:t> PERFORMANCE by month</a:t>
            </a:r>
            <a:r>
              <a:rPr lang="en-US" sz="1200">
                <a:solidFill>
                  <a:schemeClr val="tx1"/>
                </a:solidFill>
              </a:rPr>
              <a:t> 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15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R-Time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numRef>
              <c:f>Level1!$A$40:$A$53</c:f>
              <c:numCache>
                <c:formatCode>mmm\-yy</c:formatCode>
                <c:ptCount val="14"/>
              </c:numCache>
            </c:numRef>
          </c:cat>
          <c:val>
            <c:numRef>
              <c:f>Level1!$D$40:$D$53</c:f>
              <c:numCache>
                <c:formatCode>General</c:formatCode>
                <c:ptCount val="1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Q-Time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Level1!$A$40:$A$53</c:f>
              <c:numCache>
                <c:formatCode>mmm\-yy</c:formatCode>
                <c:ptCount val="14"/>
              </c:numCache>
            </c:numRef>
          </c:cat>
          <c:val>
            <c:numRef>
              <c:f>Level1!$C$40:$C$53</c:f>
              <c:numCache>
                <c:formatCode>General</c:formatCode>
                <c:ptCount val="1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8-D4B9-734F-AAEB-78C5C6DB2A9D}"/>
            </c:ext>
          </c:extLst>
        </c:ser>
        <c:ser>
          <c:idx val="2"/>
          <c:order val="2"/>
          <c:tx>
            <c:v>Target_Q</c:v>
          </c:tx>
          <c:spPr>
            <a:ln w="38100" cap="flat" cmpd="dbl" algn="ctr">
              <a:solidFill>
                <a:srgbClr val="FFC000"/>
              </a:solidFill>
              <a:miter lim="800000"/>
            </a:ln>
            <a:effectLst/>
          </c:spPr>
          <c:marker>
            <c:symbol val="none"/>
          </c:marker>
          <c:cat>
            <c:numRef>
              <c:f>Level1!$A$40:$A$53</c:f>
              <c:numCache>
                <c:formatCode>mmm\-yy</c:formatCode>
                <c:ptCount val="14"/>
              </c:numCache>
            </c:numRef>
          </c:cat>
          <c:val>
            <c:numRef>
              <c:f>Level1!$B$56:$B$69</c:f>
              <c:numCache>
                <c:formatCode>0.00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0CA5-CE49-8C0B-8B569C0474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mmm\-yy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1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(2) Average query volume by dow</a:t>
            </a:r>
          </a:p>
        </c:rich>
      </c:tx>
      <c:layout>
        <c:manualLayout>
          <c:xMode val="edge"/>
          <c:yMode val="edge"/>
          <c:x val="0.1641292091694046"/>
          <c:y val="5.0705898005141505E-2"/>
        </c:manualLayout>
      </c:layout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Average Volume</c:v>
          </c:tx>
          <c:spPr>
            <a:ln w="38100" cap="flat" cmpd="dbl" algn="ctr">
              <a:solidFill>
                <a:srgbClr val="7030A0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tx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Level1!$F$40:$F$46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Level1!$G$40:$G$46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(5) Average</a:t>
            </a:r>
            <a:r>
              <a:rPr lang="en-US" sz="1200" baseline="0">
                <a:solidFill>
                  <a:schemeClr val="tx1"/>
                </a:solidFill>
              </a:rPr>
              <a:t> query performance </a:t>
            </a:r>
            <a:r>
              <a:rPr lang="en-US" sz="1200">
                <a:solidFill>
                  <a:schemeClr val="tx1"/>
                </a:solidFill>
              </a:rPr>
              <a:t>by DOW</a:t>
            </a:r>
          </a:p>
        </c:rich>
      </c:tx>
      <c:layout>
        <c:manualLayout>
          <c:xMode val="edge"/>
          <c:yMode val="edge"/>
          <c:x val="0.16858062844987337"/>
          <c:y val="5.5235171568551948E-2"/>
        </c:manualLayout>
      </c:layout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R-Time</c:v>
          </c:tx>
          <c:spPr>
            <a:ln w="38100" cap="flat" cmpd="dbl" algn="ctr">
              <a:solidFill>
                <a:srgbClr val="366FBB"/>
              </a:solidFill>
              <a:miter lim="800000"/>
            </a:ln>
            <a:effectLst/>
          </c:spPr>
          <c:marker>
            <c:symbol val="none"/>
          </c:marker>
          <c:cat>
            <c:strRef>
              <c:f>Level1!$F$40:$F$46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Level1!$I$40:$I$46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Q_Time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strRef>
              <c:f>Level1!$F$40:$F$46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Level1!$H$40:$H$46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3-1C5F-DB41-8BD2-0C35C82E5064}"/>
            </c:ext>
          </c:extLst>
        </c:ser>
        <c:ser>
          <c:idx val="2"/>
          <c:order val="2"/>
          <c:tx>
            <c:v>Target_Q</c:v>
          </c:tx>
          <c:spPr>
            <a:ln w="38100" cap="flat" cmpd="dbl" algn="ctr">
              <a:solidFill>
                <a:srgbClr val="FFC000"/>
              </a:solidFill>
              <a:miter lim="800000"/>
            </a:ln>
            <a:effectLst/>
          </c:spPr>
          <c:marker>
            <c:symbol val="none"/>
          </c:marker>
          <c:cat>
            <c:strRef>
              <c:f>Level1!$F$40:$F$46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Wednesday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Level1!$F$49:$F$55</c:f>
              <c:numCache>
                <c:formatCode>0.00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2958-6F41-A5E4-52A16BCA23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At val="0"/>
        <c:auto val="1"/>
        <c:lblAlgn val="ctr"/>
        <c:lblOffset val="100"/>
        <c:noMultiLvlLbl val="0"/>
      </c:catAx>
      <c:valAx>
        <c:axId val="1524102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200" b="1" i="0" cap="all" baseline="0">
                <a:solidFill>
                  <a:schemeClr val="tx1"/>
                </a:solidFill>
                <a:effectLst/>
              </a:rPr>
              <a:t>(3) Average Query volume by hour of day</a:t>
            </a:r>
            <a:endParaRPr lang="en-US" sz="1200">
              <a:solidFill>
                <a:schemeClr val="tx1"/>
              </a:solidFill>
              <a:effectLst/>
            </a:endParaRP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Average Volume</c:v>
          </c:tx>
          <c:spPr>
            <a:ln w="38100" cap="flat" cmpd="dbl" algn="ctr">
              <a:solidFill>
                <a:srgbClr val="7030A0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ysClr val="windowText" lastClr="000000"/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Level1!$K$40:$K$63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Level1!$L$40:$L$63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all" spc="15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en-US" sz="1200">
                <a:solidFill>
                  <a:schemeClr val="tx1"/>
                </a:solidFill>
              </a:rPr>
              <a:t>(6)</a:t>
            </a:r>
            <a:r>
              <a:rPr lang="en-US" sz="1200" baseline="0">
                <a:solidFill>
                  <a:schemeClr val="tx1"/>
                </a:solidFill>
              </a:rPr>
              <a:t> </a:t>
            </a:r>
            <a:r>
              <a:rPr lang="en-US" sz="1200">
                <a:solidFill>
                  <a:schemeClr val="tx1"/>
                </a:solidFill>
              </a:rPr>
              <a:t>Average query performance</a:t>
            </a:r>
            <a:r>
              <a:rPr lang="en-US" sz="1200" baseline="0">
                <a:solidFill>
                  <a:schemeClr val="tx1"/>
                </a:solidFill>
              </a:rPr>
              <a:t> by hour of day</a:t>
            </a:r>
            <a:endParaRPr lang="en-US" sz="1200">
              <a:solidFill>
                <a:schemeClr val="tx1"/>
              </a:solidFill>
            </a:endParaRPr>
          </a:p>
        </c:rich>
      </c:tx>
      <c:layout>
        <c:manualLayout>
          <c:xMode val="edge"/>
          <c:yMode val="edge"/>
          <c:x val="0.12803092795645682"/>
          <c:y val="5.2697600040855802E-2"/>
        </c:manualLayout>
      </c:layout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15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8587061456914483E-2"/>
          <c:y val="8.5007875931856047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R-Time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numRef>
              <c:f>Level1!$K$40:$K$63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Level1!$N$40:$N$63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6"/>
          <c:order val="1"/>
          <c:tx>
            <c:v>Target_Q</c:v>
          </c:tx>
          <c:spPr>
            <a:ln w="38100" cap="flat" cmpd="dbl" algn="ctr">
              <a:solidFill>
                <a:srgbClr val="FFC000"/>
              </a:solidFill>
              <a:miter lim="800000"/>
            </a:ln>
            <a:effectLst/>
          </c:spPr>
          <c:marker>
            <c:symbol val="none"/>
          </c:marker>
          <c:cat>
            <c:numRef>
              <c:f>Level1!$K$40:$K$63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Level1!$O$40:$O$63</c:f>
              <c:numCache>
                <c:formatCode>0.00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5-45E0-8F47-9761-25B3E1D28FBB}"/>
            </c:ext>
          </c:extLst>
        </c:ser>
        <c:ser>
          <c:idx val="0"/>
          <c:order val="2"/>
          <c:tx>
            <c:v>Q_Time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Level1!$K$40:$K$63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Level1!$M$40:$M$63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7-45E0-8F47-9761-25B3E1D28F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 Pain by month 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tx1"/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'Graphs - Pain Index'!$A$77:$A$89</c:f>
              <c:numCache>
                <c:formatCode>[$-409]mmm\-yy;@</c:formatCode>
                <c:ptCount val="13"/>
                <c:pt idx="0">
                  <c:v>43344</c:v>
                </c:pt>
                <c:pt idx="1">
                  <c:v>43374</c:v>
                </c:pt>
                <c:pt idx="2">
                  <c:v>43405</c:v>
                </c:pt>
                <c:pt idx="3">
                  <c:v>43435</c:v>
                </c:pt>
                <c:pt idx="4">
                  <c:v>43466</c:v>
                </c:pt>
                <c:pt idx="5">
                  <c:v>43497</c:v>
                </c:pt>
                <c:pt idx="6">
                  <c:v>43525</c:v>
                </c:pt>
                <c:pt idx="7">
                  <c:v>43556</c:v>
                </c:pt>
                <c:pt idx="8">
                  <c:v>43586</c:v>
                </c:pt>
                <c:pt idx="9">
                  <c:v>43617</c:v>
                </c:pt>
                <c:pt idx="10">
                  <c:v>43647</c:v>
                </c:pt>
                <c:pt idx="11">
                  <c:v>43678</c:v>
                </c:pt>
                <c:pt idx="12">
                  <c:v>43709</c:v>
                </c:pt>
              </c:numCache>
            </c:numRef>
          </c:cat>
          <c:val>
            <c:numRef>
              <c:f>'Graphs - Pain Index'!$B$77:$B$89</c:f>
              <c:numCache>
                <c:formatCode>_(* #,##0_);_(* \(#,##0\);_(* "-"??_);_(@_)</c:formatCode>
                <c:ptCount val="13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Index'!$A$77:$A$89</c:f>
              <c:numCache>
                <c:formatCode>[$-409]mmm\-yy;@</c:formatCode>
                <c:ptCount val="13"/>
                <c:pt idx="0">
                  <c:v>43344</c:v>
                </c:pt>
                <c:pt idx="1">
                  <c:v>43374</c:v>
                </c:pt>
                <c:pt idx="2">
                  <c:v>43405</c:v>
                </c:pt>
                <c:pt idx="3">
                  <c:v>43435</c:v>
                </c:pt>
                <c:pt idx="4">
                  <c:v>43466</c:v>
                </c:pt>
                <c:pt idx="5">
                  <c:v>43497</c:v>
                </c:pt>
                <c:pt idx="6">
                  <c:v>43525</c:v>
                </c:pt>
                <c:pt idx="7">
                  <c:v>43556</c:v>
                </c:pt>
                <c:pt idx="8">
                  <c:v>43586</c:v>
                </c:pt>
                <c:pt idx="9">
                  <c:v>43617</c:v>
                </c:pt>
                <c:pt idx="10">
                  <c:v>43647</c:v>
                </c:pt>
                <c:pt idx="11">
                  <c:v>43678</c:v>
                </c:pt>
                <c:pt idx="12">
                  <c:v>43709</c:v>
                </c:pt>
              </c:numCache>
            </c:numRef>
          </c:cat>
          <c:val>
            <c:numRef>
              <c:f>'Graphs - Pain Index'!$B$106:$B$133</c:f>
              <c:numCache>
                <c:formatCode>_(* #,##0_);_(* \(#,##0\);_(* "-"??_);_(@_)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8C6-F748-8226-C0B2CAAC63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dateAx>
        <c:axId val="1524098224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Offset val="100"/>
        <c:baseTimeUnit val="months"/>
      </c:dateAx>
      <c:valAx>
        <c:axId val="1524102896"/>
        <c:scaling>
          <c:orientation val="minMax"/>
          <c:max val="3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 month 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tx1"/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'Graphs - Pain Index'!$A$77:$A$104</c:f>
              <c:numCache>
                <c:formatCode>[$-409]mmm\-yy;@</c:formatCode>
                <c:ptCount val="28"/>
                <c:pt idx="0">
                  <c:v>43344</c:v>
                </c:pt>
                <c:pt idx="1">
                  <c:v>43374</c:v>
                </c:pt>
                <c:pt idx="2">
                  <c:v>43405</c:v>
                </c:pt>
                <c:pt idx="3">
                  <c:v>43435</c:v>
                </c:pt>
                <c:pt idx="4">
                  <c:v>43466</c:v>
                </c:pt>
                <c:pt idx="5">
                  <c:v>43497</c:v>
                </c:pt>
                <c:pt idx="6">
                  <c:v>43525</c:v>
                </c:pt>
                <c:pt idx="7">
                  <c:v>43556</c:v>
                </c:pt>
                <c:pt idx="8">
                  <c:v>43586</c:v>
                </c:pt>
                <c:pt idx="9">
                  <c:v>43617</c:v>
                </c:pt>
                <c:pt idx="10">
                  <c:v>43647</c:v>
                </c:pt>
                <c:pt idx="11">
                  <c:v>43678</c:v>
                </c:pt>
                <c:pt idx="12">
                  <c:v>43709</c:v>
                </c:pt>
              </c:numCache>
            </c:numRef>
          </c:cat>
          <c:val>
            <c:numRef>
              <c:f>'Graphs - Pain Index'!$C$77:$C$89</c:f>
              <c:numCache>
                <c:formatCode>_(* #,##0_);_(* \(#,##0\);_(* "-"??_);_(@_)</c:formatCode>
                <c:ptCount val="13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Index'!$A$77:$A$104</c:f>
              <c:numCache>
                <c:formatCode>[$-409]mmm\-yy;@</c:formatCode>
                <c:ptCount val="28"/>
                <c:pt idx="0">
                  <c:v>43344</c:v>
                </c:pt>
                <c:pt idx="1">
                  <c:v>43374</c:v>
                </c:pt>
                <c:pt idx="2">
                  <c:v>43405</c:v>
                </c:pt>
                <c:pt idx="3">
                  <c:v>43435</c:v>
                </c:pt>
                <c:pt idx="4">
                  <c:v>43466</c:v>
                </c:pt>
                <c:pt idx="5">
                  <c:v>43497</c:v>
                </c:pt>
                <c:pt idx="6">
                  <c:v>43525</c:v>
                </c:pt>
                <c:pt idx="7">
                  <c:v>43556</c:v>
                </c:pt>
                <c:pt idx="8">
                  <c:v>43586</c:v>
                </c:pt>
                <c:pt idx="9">
                  <c:v>43617</c:v>
                </c:pt>
                <c:pt idx="10">
                  <c:v>43647</c:v>
                </c:pt>
                <c:pt idx="11">
                  <c:v>43678</c:v>
                </c:pt>
                <c:pt idx="12">
                  <c:v>43709</c:v>
                </c:pt>
              </c:numCache>
            </c:numRef>
          </c:cat>
          <c:val>
            <c:numRef>
              <c:f>'Graphs - Pain Index'!$C$106:$C$133</c:f>
              <c:numCache>
                <c:formatCode>_(* #,##0_);_(* \(#,##0\);_(* "-"??_);_(@_)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194-F140-BA25-2587C8CC5E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dateAx>
        <c:axId val="1524098224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Offset val="100"/>
        <c:baseTimeUnit val="months"/>
      </c:dateAx>
      <c:valAx>
        <c:axId val="1524102896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 month 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Index'!$A$77:$A$104</c:f>
              <c:numCache>
                <c:formatCode>[$-409]mmm\-yy;@</c:formatCode>
                <c:ptCount val="28"/>
                <c:pt idx="0">
                  <c:v>43344</c:v>
                </c:pt>
                <c:pt idx="1">
                  <c:v>43374</c:v>
                </c:pt>
                <c:pt idx="2">
                  <c:v>43405</c:v>
                </c:pt>
                <c:pt idx="3">
                  <c:v>43435</c:v>
                </c:pt>
                <c:pt idx="4">
                  <c:v>43466</c:v>
                </c:pt>
                <c:pt idx="5">
                  <c:v>43497</c:v>
                </c:pt>
                <c:pt idx="6">
                  <c:v>43525</c:v>
                </c:pt>
                <c:pt idx="7">
                  <c:v>43556</c:v>
                </c:pt>
                <c:pt idx="8">
                  <c:v>43586</c:v>
                </c:pt>
                <c:pt idx="9">
                  <c:v>43617</c:v>
                </c:pt>
                <c:pt idx="10">
                  <c:v>43647</c:v>
                </c:pt>
                <c:pt idx="11">
                  <c:v>43678</c:v>
                </c:pt>
                <c:pt idx="12">
                  <c:v>43709</c:v>
                </c:pt>
              </c:numCache>
            </c:numRef>
          </c:cat>
          <c:val>
            <c:numRef>
              <c:f>'Graphs - Pain Index'!$D$77:$D$104</c:f>
              <c:numCache>
                <c:formatCode>_(* #,##0_);_(* \(#,##0\);_(* "-"??_);_(@_)</c:formatCode>
                <c:ptCount val="28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Index'!$A$77:$A$104</c:f>
              <c:numCache>
                <c:formatCode>[$-409]mmm\-yy;@</c:formatCode>
                <c:ptCount val="28"/>
                <c:pt idx="0">
                  <c:v>43344</c:v>
                </c:pt>
                <c:pt idx="1">
                  <c:v>43374</c:v>
                </c:pt>
                <c:pt idx="2">
                  <c:v>43405</c:v>
                </c:pt>
                <c:pt idx="3">
                  <c:v>43435</c:v>
                </c:pt>
                <c:pt idx="4">
                  <c:v>43466</c:v>
                </c:pt>
                <c:pt idx="5">
                  <c:v>43497</c:v>
                </c:pt>
                <c:pt idx="6">
                  <c:v>43525</c:v>
                </c:pt>
                <c:pt idx="7">
                  <c:v>43556</c:v>
                </c:pt>
                <c:pt idx="8">
                  <c:v>43586</c:v>
                </c:pt>
                <c:pt idx="9">
                  <c:v>43617</c:v>
                </c:pt>
                <c:pt idx="10">
                  <c:v>43647</c:v>
                </c:pt>
                <c:pt idx="11">
                  <c:v>43678</c:v>
                </c:pt>
                <c:pt idx="12">
                  <c:v>43709</c:v>
                </c:pt>
              </c:numCache>
            </c:numRef>
          </c:cat>
          <c:val>
            <c:numRef>
              <c:f>'Graphs - Pain Index'!$D$106:$D$133</c:f>
              <c:numCache>
                <c:formatCode>_(* #,##0_);_(* \(#,##0\);_(* "-"??_);_(@_)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7DB-1847-A5DD-AA28694170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dateAx>
        <c:axId val="1524098224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Offset val="100"/>
        <c:baseTimeUnit val="months"/>
      </c:dateAx>
      <c:valAx>
        <c:axId val="1524102896"/>
        <c:scaling>
          <c:orientation val="minMax"/>
          <c:max val="1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 month 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Index'!$A$77:$A$104</c:f>
              <c:numCache>
                <c:formatCode>[$-409]mmm\-yy;@</c:formatCode>
                <c:ptCount val="28"/>
                <c:pt idx="0">
                  <c:v>43344</c:v>
                </c:pt>
                <c:pt idx="1">
                  <c:v>43374</c:v>
                </c:pt>
                <c:pt idx="2">
                  <c:v>43405</c:v>
                </c:pt>
                <c:pt idx="3">
                  <c:v>43435</c:v>
                </c:pt>
                <c:pt idx="4">
                  <c:v>43466</c:v>
                </c:pt>
                <c:pt idx="5">
                  <c:v>43497</c:v>
                </c:pt>
                <c:pt idx="6">
                  <c:v>43525</c:v>
                </c:pt>
                <c:pt idx="7">
                  <c:v>43556</c:v>
                </c:pt>
                <c:pt idx="8">
                  <c:v>43586</c:v>
                </c:pt>
                <c:pt idx="9">
                  <c:v>43617</c:v>
                </c:pt>
                <c:pt idx="10">
                  <c:v>43647</c:v>
                </c:pt>
                <c:pt idx="11">
                  <c:v>43678</c:v>
                </c:pt>
                <c:pt idx="12">
                  <c:v>43709</c:v>
                </c:pt>
              </c:numCache>
            </c:numRef>
          </c:cat>
          <c:val>
            <c:numRef>
              <c:f>'Graphs - Pain Index'!$E$77:$E$104</c:f>
              <c:numCache>
                <c:formatCode>_(* #,##0_);_(* \(#,##0\);_(* "-"??_);_(@_)</c:formatCode>
                <c:ptCount val="28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Index'!$A$77:$A$104</c:f>
              <c:numCache>
                <c:formatCode>[$-409]mmm\-yy;@</c:formatCode>
                <c:ptCount val="28"/>
                <c:pt idx="0">
                  <c:v>43344</c:v>
                </c:pt>
                <c:pt idx="1">
                  <c:v>43374</c:v>
                </c:pt>
                <c:pt idx="2">
                  <c:v>43405</c:v>
                </c:pt>
                <c:pt idx="3">
                  <c:v>43435</c:v>
                </c:pt>
                <c:pt idx="4">
                  <c:v>43466</c:v>
                </c:pt>
                <c:pt idx="5">
                  <c:v>43497</c:v>
                </c:pt>
                <c:pt idx="6">
                  <c:v>43525</c:v>
                </c:pt>
                <c:pt idx="7">
                  <c:v>43556</c:v>
                </c:pt>
                <c:pt idx="8">
                  <c:v>43586</c:v>
                </c:pt>
                <c:pt idx="9">
                  <c:v>43617</c:v>
                </c:pt>
                <c:pt idx="10">
                  <c:v>43647</c:v>
                </c:pt>
                <c:pt idx="11">
                  <c:v>43678</c:v>
                </c:pt>
                <c:pt idx="12">
                  <c:v>43709</c:v>
                </c:pt>
              </c:numCache>
            </c:numRef>
          </c:cat>
          <c:val>
            <c:numRef>
              <c:f>'Graphs - Pain Index'!$E$106:$E$133</c:f>
              <c:numCache>
                <c:formatCode>_(* #,##0_);_(* \(#,##0\);_(* "-"??_);_(@_)</c:formatCode>
                <c:ptCount val="28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3F1-814D-9FEA-8F66CC61C3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dateAx>
        <c:axId val="1524098224"/>
        <c:scaling>
          <c:orientation val="minMax"/>
        </c:scaling>
        <c:delete val="0"/>
        <c:axPos val="b"/>
        <c:numFmt formatCode="[$-409]mmm\-yy;@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Offset val="100"/>
        <c:baseTimeUnit val="months"/>
      </c:dateAx>
      <c:valAx>
        <c:axId val="1524102896"/>
        <c:scaling>
          <c:orientation val="minMax"/>
          <c:max val="8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 day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strRef>
              <c:f>'Graphs - Pain Index'!$I$77:$I$83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Wendsday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'Graphs - Pain Index'!$L$77:$L$83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strRef>
              <c:f>'Graphs - Pain Index'!$I$77:$I$83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Wendsday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'Graphs - Pain Index'!$L$86:$L$92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CC-6E47-8B29-B6221283D9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2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5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 day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strRef>
              <c:f>'Graphs - Pain Index'!$I$77:$I$83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Wendsday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'Graphs - Pain Index'!$M$77:$M$83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strRef>
              <c:f>'Graphs - Pain Index'!$I$77:$I$83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Wendsday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'Graphs - Pain Index'!$M$86:$M$92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437-CE4B-B276-D38BFEE2E70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1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2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 day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strRef>
              <c:f>'Graphs - Pain Index'!$I$77:$I$83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Wendsday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'Graphs - Pain Index'!$K$77:$K$83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strRef>
              <c:f>'Graphs - Pain Index'!$I$77:$I$83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Wendsday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'Graphs - Pain Index'!$K$86:$K$92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958-B64D-A35C-4A755E6922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4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10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 day</a:t>
            </a:r>
          </a:p>
        </c:rich>
      </c:tx>
      <c:layout>
        <c:manualLayout>
          <c:xMode val="edge"/>
          <c:yMode val="edge"/>
          <c:x val="0.38999268496760836"/>
          <c:y val="4.3910201908349322E-2"/>
        </c:manualLayout>
      </c:layout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chemeClr val="tx1"/>
                </a:solidFill>
              </a:ln>
              <a:effectLst/>
            </c:spPr>
            <c:trendlineType val="linear"/>
            <c:dispRSqr val="0"/>
            <c:dispEq val="0"/>
          </c:trendline>
          <c:cat>
            <c:strRef>
              <c:f>'Graphs - Pain Index'!$I$77:$I$83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Wendsday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'Graphs - Pain Index'!$J$77:$J$83</c:f>
              <c:numCache>
                <c:formatCode>General</c:formatCode>
                <c:ptCount val="7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strRef>
              <c:f>'Graphs - Pain Index'!$I$77:$I$83</c:f>
              <c:strCache>
                <c:ptCount val="7"/>
                <c:pt idx="0">
                  <c:v>Sunday</c:v>
                </c:pt>
                <c:pt idx="1">
                  <c:v>Monday</c:v>
                </c:pt>
                <c:pt idx="2">
                  <c:v>Tuesday</c:v>
                </c:pt>
                <c:pt idx="3">
                  <c:v>Wendsday</c:v>
                </c:pt>
                <c:pt idx="4">
                  <c:v>Thursday</c:v>
                </c:pt>
                <c:pt idx="5">
                  <c:v>Friday</c:v>
                </c:pt>
                <c:pt idx="6">
                  <c:v>Saturday</c:v>
                </c:pt>
              </c:strCache>
            </c:strRef>
          </c:cat>
          <c:val>
            <c:numRef>
              <c:f>'Graphs - Pain Index'!$J$86:$J$92</c:f>
              <c:numCache>
                <c:formatCode>General</c:formatCode>
                <c:ptCount val="7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DA70-A948-8EE3-1E7806FF418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6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20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 hour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 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trendline>
            <c:spPr>
              <a:ln w="12700" cap="rnd">
                <a:solidFill>
                  <a:srgbClr val="3872BF"/>
                </a:solidFill>
              </a:ln>
              <a:effectLst/>
            </c:spPr>
            <c:trendlineType val="linear"/>
            <c:dispRSqr val="0"/>
            <c:dispEq val="0"/>
          </c:trendline>
          <c:cat>
            <c:numRef>
              <c:f>'Graphs - Pain Index'!$P$81:$P$104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'Graphs - Pain Index'!$Q$81:$Q$104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Index'!$P$81:$P$104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'Graphs - Pain Index'!$U$81:$U$104</c:f>
              <c:numCache>
                <c:formatCode>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EE9-F647-A675-1F1684D1F3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10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25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</a:t>
            </a:r>
            <a:r>
              <a:rPr lang="en-US" sz="1600" baseline="0">
                <a:solidFill>
                  <a:schemeClr val="tx1"/>
                </a:solidFill>
              </a:rPr>
              <a:t> hour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Index'!$P$81:$P$104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'Graphs - Pain Index'!$R$81:$R$104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Index'!$P$81:$P$104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'Graphs - Pain Index'!$V$81:$V$104</c:f>
              <c:numCache>
                <c:formatCode>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395-5741-ABDC-34F0196CF9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75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25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 by hour</a:t>
            </a: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Index'!$P$81:$P$104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'Graphs - Pain Index'!$S$81:$S$104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Index'!$P$81:$P$104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'Graphs - Pain Index'!$W$81:$W$104</c:f>
              <c:numCache>
                <c:formatCode>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C6FF-5B4A-BFA3-AC13A7EB29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4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10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>
                <a:solidFill>
                  <a:schemeClr val="tx1"/>
                </a:solidFill>
              </a:rPr>
              <a:t>pain</a:t>
            </a:r>
            <a:r>
              <a:rPr lang="en-US" sz="1600" baseline="0">
                <a:solidFill>
                  <a:schemeClr val="tx1"/>
                </a:solidFill>
              </a:rPr>
              <a:t> by hour</a:t>
            </a:r>
            <a:endParaRPr lang="en-US" sz="1600">
              <a:solidFill>
                <a:schemeClr val="tx1"/>
              </a:solidFill>
            </a:endParaRPr>
          </a:p>
        </c:rich>
      </c:tx>
      <c:overlay val="1"/>
      <c:spPr>
        <a:solidFill>
          <a:srgbClr val="E7E6E6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6078194558853595E-2"/>
          <c:y val="6.6070898914786694E-2"/>
          <c:w val="0.90192664783117804"/>
          <c:h val="0.76118753820152596"/>
        </c:manualLayout>
      </c:layout>
      <c:lineChart>
        <c:grouping val="standard"/>
        <c:varyColors val="0"/>
        <c:ser>
          <c:idx val="1"/>
          <c:order val="0"/>
          <c:tx>
            <c:v>Observed Pain</c:v>
          </c:tx>
          <c:spPr>
            <a:ln w="38100" cap="flat" cmpd="dbl" algn="ctr">
              <a:solidFill>
                <a:srgbClr val="3872BF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Index'!$P$81:$P$104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'Graphs - Pain Index'!$T$81:$T$104</c:f>
              <c:numCache>
                <c:formatCode>General</c:formatCode>
                <c:ptCount val="24"/>
              </c:numCache>
            </c:numRef>
          </c:val>
          <c:smooth val="1"/>
          <c:extLst>
            <c:ext xmlns:c16="http://schemas.microsoft.com/office/drawing/2014/chart" uri="{C3380CC4-5D6E-409C-BE32-E72D297353CC}">
              <c16:uniqueId val="{00000001-A380-814E-8F6B-20BB91023867}"/>
            </c:ext>
          </c:extLst>
        </c:ser>
        <c:ser>
          <c:idx val="0"/>
          <c:order val="1"/>
          <c:tx>
            <c:v>Acceptable Pain</c:v>
          </c:tx>
          <c:spPr>
            <a:ln w="38100" cap="flat" cmpd="dbl" algn="ctr">
              <a:solidFill>
                <a:srgbClr val="70AD47"/>
              </a:solidFill>
              <a:miter lim="800000"/>
            </a:ln>
            <a:effectLst/>
          </c:spPr>
          <c:marker>
            <c:symbol val="none"/>
          </c:marker>
          <c:cat>
            <c:numRef>
              <c:f>'Graphs - Pain Index'!$P$81:$P$104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cat>
          <c:val>
            <c:numRef>
              <c:f>'Graphs - Pain Index'!$X$81:$X$104</c:f>
              <c:numCache>
                <c:formatCode>0</c:formatCode>
                <c:ptCount val="24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9FF4-2940-9294-9DED9BCE21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524098224"/>
        <c:axId val="1524102896"/>
      </c:lineChart>
      <c:catAx>
        <c:axId val="15240982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102896"/>
        <c:crosses val="autoZero"/>
        <c:auto val="1"/>
        <c:lblAlgn val="ctr"/>
        <c:lblOffset val="100"/>
        <c:noMultiLvlLbl val="0"/>
      </c:catAx>
      <c:valAx>
        <c:axId val="1524102896"/>
        <c:scaling>
          <c:orientation val="minMax"/>
          <c:max val="20000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ln>
                  <a:noFill/>
                </a:ln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524098224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6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80737</xdr:colOff>
      <xdr:row>2</xdr:row>
      <xdr:rowOff>61686</xdr:rowOff>
    </xdr:from>
    <xdr:to>
      <xdr:col>6</xdr:col>
      <xdr:colOff>692150</xdr:colOff>
      <xdr:row>17</xdr:row>
      <xdr:rowOff>182335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146051</xdr:colOff>
      <xdr:row>18</xdr:row>
      <xdr:rowOff>190500</xdr:rowOff>
    </xdr:from>
    <xdr:to>
      <xdr:col>6</xdr:col>
      <xdr:colOff>714376</xdr:colOff>
      <xdr:row>35</xdr:row>
      <xdr:rowOff>907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794204</xdr:colOff>
      <xdr:row>2</xdr:row>
      <xdr:rowOff>50800</xdr:rowOff>
    </xdr:from>
    <xdr:to>
      <xdr:col>13</xdr:col>
      <xdr:colOff>245383</xdr:colOff>
      <xdr:row>18</xdr:row>
      <xdr:rowOff>10886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6</xdr:col>
      <xdr:colOff>820057</xdr:colOff>
      <xdr:row>18</xdr:row>
      <xdr:rowOff>185510</xdr:rowOff>
    </xdr:from>
    <xdr:to>
      <xdr:col>13</xdr:col>
      <xdr:colOff>271236</xdr:colOff>
      <xdr:row>34</xdr:row>
      <xdr:rowOff>180068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13</xdr:col>
      <xdr:colOff>351518</xdr:colOff>
      <xdr:row>2</xdr:row>
      <xdr:rowOff>107497</xdr:rowOff>
    </xdr:from>
    <xdr:to>
      <xdr:col>19</xdr:col>
      <xdr:colOff>739775</xdr:colOff>
      <xdr:row>18</xdr:row>
      <xdr:rowOff>28122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13</xdr:col>
      <xdr:colOff>334818</xdr:colOff>
      <xdr:row>18</xdr:row>
      <xdr:rowOff>150092</xdr:rowOff>
    </xdr:from>
    <xdr:to>
      <xdr:col>19</xdr:col>
      <xdr:colOff>749301</xdr:colOff>
      <xdr:row>34</xdr:row>
      <xdr:rowOff>178255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16</xdr:col>
      <xdr:colOff>320441</xdr:colOff>
      <xdr:row>39</xdr:row>
      <xdr:rowOff>143338</xdr:rowOff>
    </xdr:from>
    <xdr:to>
      <xdr:col>16</xdr:col>
      <xdr:colOff>691856</xdr:colOff>
      <xdr:row>39</xdr:row>
      <xdr:rowOff>143339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/>
      </xdr:nvCxnSpPr>
      <xdr:spPr>
        <a:xfrm flipV="1">
          <a:off x="14151896" y="8398338"/>
          <a:ext cx="371415" cy="1"/>
        </a:xfrm>
        <a:prstGeom prst="line">
          <a:avLst/>
        </a:prstGeom>
        <a:ln w="34925" cmpd="dbl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320441</xdr:colOff>
      <xdr:row>40</xdr:row>
      <xdr:rowOff>131355</xdr:rowOff>
    </xdr:from>
    <xdr:to>
      <xdr:col>16</xdr:col>
      <xdr:colOff>691856</xdr:colOff>
      <xdr:row>40</xdr:row>
      <xdr:rowOff>131356</xdr:rowOff>
    </xdr:to>
    <xdr:cxnSp macro="">
      <xdr:nvCxnSpPr>
        <xdr:cNvPr id="11" name="Straight Connector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CxnSpPr/>
      </xdr:nvCxnSpPr>
      <xdr:spPr>
        <a:xfrm flipV="1">
          <a:off x="14151896" y="8628810"/>
          <a:ext cx="371415" cy="1"/>
        </a:xfrm>
        <a:prstGeom prst="line">
          <a:avLst/>
        </a:prstGeom>
        <a:ln w="34925" cmpd="dbl">
          <a:solidFill>
            <a:srgbClr val="7EAB5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366622</xdr:colOff>
      <xdr:row>40</xdr:row>
      <xdr:rowOff>131357</xdr:rowOff>
    </xdr:from>
    <xdr:to>
      <xdr:col>16</xdr:col>
      <xdr:colOff>692727</xdr:colOff>
      <xdr:row>40</xdr:row>
      <xdr:rowOff>138545</xdr:rowOff>
    </xdr:to>
    <xdr:cxnSp macro="">
      <xdr:nvCxnSpPr>
        <xdr:cNvPr id="14" name="Straight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14198077" y="8628812"/>
          <a:ext cx="326105" cy="7188"/>
        </a:xfrm>
        <a:prstGeom prst="line">
          <a:avLst/>
        </a:prstGeom>
        <a:ln w="34925" cmpd="dbl">
          <a:solidFill>
            <a:srgbClr val="7EAB5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334818</xdr:colOff>
      <xdr:row>41</xdr:row>
      <xdr:rowOff>124691</xdr:rowOff>
    </xdr:from>
    <xdr:to>
      <xdr:col>16</xdr:col>
      <xdr:colOff>706233</xdr:colOff>
      <xdr:row>41</xdr:row>
      <xdr:rowOff>124692</xdr:rowOff>
    </xdr:to>
    <xdr:cxnSp macro="">
      <xdr:nvCxnSpPr>
        <xdr:cNvPr id="15" name="Straight Connector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CxnSpPr/>
      </xdr:nvCxnSpPr>
      <xdr:spPr>
        <a:xfrm flipV="1">
          <a:off x="14166273" y="8864600"/>
          <a:ext cx="371415" cy="1"/>
        </a:xfrm>
        <a:prstGeom prst="line">
          <a:avLst/>
        </a:prstGeom>
        <a:ln w="34925" cmpd="dbl">
          <a:solidFill>
            <a:schemeClr val="accent4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482600</xdr:colOff>
          <xdr:row>4</xdr:row>
          <xdr:rowOff>12700</xdr:rowOff>
        </xdr:from>
        <xdr:to>
          <xdr:col>23</xdr:col>
          <xdr:colOff>241300</xdr:colOff>
          <xdr:row>8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24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Import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93437</xdr:colOff>
      <xdr:row>2</xdr:row>
      <xdr:rowOff>99786</xdr:rowOff>
    </xdr:from>
    <xdr:to>
      <xdr:col>6</xdr:col>
      <xdr:colOff>704850</xdr:colOff>
      <xdr:row>18</xdr:row>
      <xdr:rowOff>17235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63501</xdr:colOff>
      <xdr:row>18</xdr:row>
      <xdr:rowOff>190501</xdr:rowOff>
    </xdr:from>
    <xdr:to>
      <xdr:col>6</xdr:col>
      <xdr:colOff>714377</xdr:colOff>
      <xdr:row>34</xdr:row>
      <xdr:rowOff>139701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76200</xdr:colOff>
      <xdr:row>36</xdr:row>
      <xdr:rowOff>0</xdr:rowOff>
    </xdr:from>
    <xdr:to>
      <xdr:col>6</xdr:col>
      <xdr:colOff>723900</xdr:colOff>
      <xdr:row>51</xdr:row>
      <xdr:rowOff>152400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0</xdr:col>
      <xdr:colOff>0</xdr:colOff>
      <xdr:row>53</xdr:row>
      <xdr:rowOff>0</xdr:rowOff>
    </xdr:from>
    <xdr:to>
      <xdr:col>6</xdr:col>
      <xdr:colOff>647700</xdr:colOff>
      <xdr:row>68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7</xdr:col>
      <xdr:colOff>0</xdr:colOff>
      <xdr:row>36</xdr:row>
      <xdr:rowOff>0</xdr:rowOff>
    </xdr:from>
    <xdr:to>
      <xdr:col>13</xdr:col>
      <xdr:colOff>340179</xdr:colOff>
      <xdr:row>51</xdr:row>
      <xdr:rowOff>197758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0</xdr:colOff>
      <xdr:row>53</xdr:row>
      <xdr:rowOff>0</xdr:rowOff>
    </xdr:from>
    <xdr:to>
      <xdr:col>13</xdr:col>
      <xdr:colOff>340179</xdr:colOff>
      <xdr:row>68</xdr:row>
      <xdr:rowOff>197758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0</xdr:colOff>
      <xdr:row>19</xdr:row>
      <xdr:rowOff>0</xdr:rowOff>
    </xdr:from>
    <xdr:to>
      <xdr:col>13</xdr:col>
      <xdr:colOff>340179</xdr:colOff>
      <xdr:row>34</xdr:row>
      <xdr:rowOff>197758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7</xdr:col>
      <xdr:colOff>0</xdr:colOff>
      <xdr:row>2</xdr:row>
      <xdr:rowOff>0</xdr:rowOff>
    </xdr:from>
    <xdr:to>
      <xdr:col>13</xdr:col>
      <xdr:colOff>340179</xdr:colOff>
      <xdr:row>17</xdr:row>
      <xdr:rowOff>197758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0</xdr:colOff>
      <xdr:row>2</xdr:row>
      <xdr:rowOff>0</xdr:rowOff>
    </xdr:from>
    <xdr:to>
      <xdr:col>19</xdr:col>
      <xdr:colOff>616857</xdr:colOff>
      <xdr:row>17</xdr:row>
      <xdr:rowOff>191408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14</xdr:col>
      <xdr:colOff>0</xdr:colOff>
      <xdr:row>19</xdr:row>
      <xdr:rowOff>0</xdr:rowOff>
    </xdr:from>
    <xdr:to>
      <xdr:col>19</xdr:col>
      <xdr:colOff>616857</xdr:colOff>
      <xdr:row>34</xdr:row>
      <xdr:rowOff>191408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14</xdr:col>
      <xdr:colOff>0</xdr:colOff>
      <xdr:row>36</xdr:row>
      <xdr:rowOff>0</xdr:rowOff>
    </xdr:from>
    <xdr:to>
      <xdr:col>19</xdr:col>
      <xdr:colOff>616857</xdr:colOff>
      <xdr:row>51</xdr:row>
      <xdr:rowOff>191408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14</xdr:col>
      <xdr:colOff>0</xdr:colOff>
      <xdr:row>53</xdr:row>
      <xdr:rowOff>0</xdr:rowOff>
    </xdr:from>
    <xdr:to>
      <xdr:col>19</xdr:col>
      <xdr:colOff>616857</xdr:colOff>
      <xdr:row>68</xdr:row>
      <xdr:rowOff>191408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315823</xdr:colOff>
      <xdr:row>76</xdr:row>
      <xdr:rowOff>106392</xdr:rowOff>
    </xdr:from>
    <xdr:to>
      <xdr:col>15</xdr:col>
      <xdr:colOff>687238</xdr:colOff>
      <xdr:row>76</xdr:row>
      <xdr:rowOff>106393</xdr:rowOff>
    </xdr:to>
    <xdr:cxnSp macro="">
      <xdr:nvCxnSpPr>
        <xdr:cNvPr id="24" name="Straight Connector 23">
          <a:extLst>
            <a:ext uri="{FF2B5EF4-FFF2-40B4-BE49-F238E27FC236}">
              <a16:creationId xmlns:a16="http://schemas.microsoft.com/office/drawing/2014/main" id="{00000000-0008-0000-0100-000018000000}"/>
            </a:ext>
          </a:extLst>
        </xdr:cNvPr>
        <xdr:cNvCxnSpPr/>
      </xdr:nvCxnSpPr>
      <xdr:spPr>
        <a:xfrm flipV="1">
          <a:off x="13130123" y="15841692"/>
          <a:ext cx="371415" cy="1"/>
        </a:xfrm>
        <a:prstGeom prst="line">
          <a:avLst/>
        </a:prstGeom>
        <a:ln w="34925" cmpd="dbl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315823</xdr:colOff>
      <xdr:row>75</xdr:row>
      <xdr:rowOff>132510</xdr:rowOff>
    </xdr:from>
    <xdr:to>
      <xdr:col>15</xdr:col>
      <xdr:colOff>687238</xdr:colOff>
      <xdr:row>75</xdr:row>
      <xdr:rowOff>132511</xdr:rowOff>
    </xdr:to>
    <xdr:cxnSp macro="">
      <xdr:nvCxnSpPr>
        <xdr:cNvPr id="25" name="Straight Connector 24">
          <a:extLst>
            <a:ext uri="{FF2B5EF4-FFF2-40B4-BE49-F238E27FC236}">
              <a16:creationId xmlns:a16="http://schemas.microsoft.com/office/drawing/2014/main" id="{00000000-0008-0000-0100-000019000000}"/>
            </a:ext>
          </a:extLst>
        </xdr:cNvPr>
        <xdr:cNvCxnSpPr/>
      </xdr:nvCxnSpPr>
      <xdr:spPr>
        <a:xfrm flipV="1">
          <a:off x="13130123" y="15651910"/>
          <a:ext cx="371415" cy="1"/>
        </a:xfrm>
        <a:prstGeom prst="line">
          <a:avLst/>
        </a:prstGeom>
        <a:ln w="34925" cmpd="dbl">
          <a:solidFill>
            <a:srgbClr val="7EAB55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9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0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2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3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4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5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6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7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theme/themeOverride18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44546A"/>
    </a:dk2>
    <a:lt2>
      <a:srgbClr val="E7E6E6"/>
    </a:lt2>
    <a:accent1>
      <a:srgbClr val="4472C4"/>
    </a:accent1>
    <a:accent2>
      <a:srgbClr val="ED7D31"/>
    </a:accent2>
    <a:accent3>
      <a:srgbClr val="A5A5A5"/>
    </a:accent3>
    <a:accent4>
      <a:srgbClr val="FFC000"/>
    </a:accent4>
    <a:accent5>
      <a:srgbClr val="5B9BD5"/>
    </a:accent5>
    <a:accent6>
      <a:srgbClr val="70AD47"/>
    </a:accent6>
    <a:hlink>
      <a:srgbClr val="0563C1"/>
    </a:hlink>
    <a:folHlink>
      <a:srgbClr val="954F72"/>
    </a:folHlink>
  </a:clrScheme>
  <a:fontScheme name="Office">
    <a:majorFont>
      <a:latin typeface="Calibri Light" panose="020F0302020204030204"/>
      <a:ea typeface=""/>
      <a:cs typeface=""/>
      <a:font script="Jpan" typeface="游ゴシック Light"/>
      <a:font script="Hang" typeface="맑은 고딕"/>
      <a:font script="Hans" typeface="等线 Light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ajorFont>
    <a:minorFont>
      <a:latin typeface="Calibri" panose="020F0502020204030204"/>
      <a:ea typeface=""/>
      <a:cs typeface=""/>
      <a:font script="Jpan" typeface="游ゴシック"/>
      <a:font script="Hang" typeface="맑은 고딕"/>
      <a:font script="Hans" typeface="等线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  <a:font script="Armn" typeface="Arial"/>
      <a:font script="Bugi" typeface="Leelawadee UI"/>
      <a:font script="Bopo" typeface="Microsoft JhengHei"/>
      <a:font script="Java" typeface="Javanese Text"/>
      <a:font script="Lisu" typeface="Segoe UI"/>
      <a:font script="Mymr" typeface="Myanmar Text"/>
      <a:font script="Nkoo" typeface="Ebrima"/>
      <a:font script="Olck" typeface="Nirmala UI"/>
      <a:font script="Osma" typeface="Ebrima"/>
      <a:font script="Phag" typeface="Phagspa"/>
      <a:font script="Syrn" typeface="Estrangelo Edessa"/>
      <a:font script="Syrj" typeface="Estrangelo Edessa"/>
      <a:font script="Syre" typeface="Estrangelo Edessa"/>
      <a:font script="Sora" typeface="Nirmala UI"/>
      <a:font script="Tale" typeface="Microsoft Tai Le"/>
      <a:font script="Talu" typeface="Microsoft New Tai Lue"/>
      <a:font script="Tfng" typeface="Ebrima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lumMod val="110000"/>
              <a:satMod val="105000"/>
              <a:tint val="67000"/>
            </a:schemeClr>
          </a:gs>
          <a:gs pos="50000">
            <a:schemeClr val="phClr">
              <a:lumMod val="105000"/>
              <a:satMod val="103000"/>
              <a:tint val="73000"/>
            </a:schemeClr>
          </a:gs>
          <a:gs pos="100000">
            <a:schemeClr val="phClr">
              <a:lumMod val="105000"/>
              <a:satMod val="109000"/>
              <a:tint val="81000"/>
            </a:schemeClr>
          </a:gs>
        </a:gsLst>
        <a:lin ang="5400000" scaled="0"/>
      </a:gradFill>
      <a:gradFill rotWithShape="1">
        <a:gsLst>
          <a:gs pos="0">
            <a:schemeClr val="phClr">
              <a:satMod val="103000"/>
              <a:lumMod val="102000"/>
              <a:tint val="94000"/>
            </a:schemeClr>
          </a:gs>
          <a:gs pos="50000">
            <a:schemeClr val="phClr">
              <a:satMod val="110000"/>
              <a:lumMod val="100000"/>
              <a:shade val="100000"/>
            </a:schemeClr>
          </a:gs>
          <a:gs pos="100000">
            <a:schemeClr val="phClr">
              <a:lumMod val="99000"/>
              <a:satMod val="120000"/>
              <a:shade val="78000"/>
            </a:schemeClr>
          </a:gs>
        </a:gsLst>
        <a:lin ang="5400000" scaled="0"/>
      </a:gradFill>
    </a:fillStyleLst>
    <a:lnStyleLst>
      <a:ln w="6350" cap="flat" cmpd="sng" algn="ctr">
        <a:solidFill>
          <a:schemeClr val="phClr"/>
        </a:solidFill>
        <a:prstDash val="solid"/>
        <a:miter lim="800000"/>
      </a:ln>
      <a:ln w="12700" cap="flat" cmpd="sng" algn="ctr">
        <a:solidFill>
          <a:schemeClr val="phClr"/>
        </a:solidFill>
        <a:prstDash val="solid"/>
        <a:miter lim="800000"/>
      </a:ln>
      <a:ln w="19050" cap="flat" cmpd="sng" algn="ctr">
        <a:solidFill>
          <a:schemeClr val="phClr"/>
        </a:solidFill>
        <a:prstDash val="solid"/>
        <a:miter lim="800000"/>
      </a:ln>
    </a:lnStyleLst>
    <a:effectStyleLst>
      <a:effectStyle>
        <a:effectLst/>
      </a:effectStyle>
      <a:effectStyle>
        <a:effectLst/>
      </a:effectStyle>
      <a:effectStyle>
        <a:effectLst>
          <a:outerShdw blurRad="57150" dist="19050" dir="5400000" algn="ctr" rotWithShape="0">
            <a:srgbClr val="000000">
              <a:alpha val="63000"/>
            </a:srgbClr>
          </a:outerShdw>
        </a:effectLst>
      </a:effectStyle>
    </a:effectStyleLst>
    <a:bgFillStyleLst>
      <a:solidFill>
        <a:schemeClr val="phClr"/>
      </a:solidFill>
      <a:solidFill>
        <a:schemeClr val="phClr">
          <a:tint val="95000"/>
          <a:satMod val="170000"/>
        </a:schemeClr>
      </a:solidFill>
      <a:gradFill rotWithShape="1">
        <a:gsLst>
          <a:gs pos="0">
            <a:schemeClr val="phClr">
              <a:tint val="93000"/>
              <a:satMod val="150000"/>
              <a:shade val="98000"/>
              <a:lumMod val="102000"/>
            </a:schemeClr>
          </a:gs>
          <a:gs pos="50000">
            <a:schemeClr val="phClr">
              <a:tint val="98000"/>
              <a:satMod val="130000"/>
              <a:shade val="90000"/>
              <a:lumMod val="103000"/>
            </a:schemeClr>
          </a:gs>
          <a:gs pos="100000">
            <a:schemeClr val="phClr">
              <a:shade val="63000"/>
              <a:satMod val="120000"/>
            </a:schemeClr>
          </a:gs>
        </a:gsLst>
        <a:lin ang="5400000" scaled="0"/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2F33C3-3D07-7D49-8E15-D56C40F2EC4F}">
  <sheetPr codeName="Sheet1">
    <tabColor theme="8"/>
  </sheetPr>
  <dimension ref="A1:AC117"/>
  <sheetViews>
    <sheetView showGridLines="0" tabSelected="1" zoomScale="110" zoomScaleNormal="110" workbookViewId="0">
      <selection activeCell="E1" sqref="E1"/>
    </sheetView>
  </sheetViews>
  <sheetFormatPr baseColWidth="10" defaultColWidth="11" defaultRowHeight="16"/>
  <cols>
    <col min="2" max="2" width="12" bestFit="1" customWidth="1"/>
    <col min="4" max="4" width="13" bestFit="1" customWidth="1"/>
    <col min="5" max="6" width="11" bestFit="1" customWidth="1"/>
    <col min="7" max="7" width="12.1640625" bestFit="1" customWidth="1"/>
    <col min="13" max="13" width="13.33203125" bestFit="1" customWidth="1"/>
    <col min="14" max="14" width="10.6640625" bestFit="1" customWidth="1"/>
    <col min="15" max="15" width="9.83203125" customWidth="1"/>
    <col min="17" max="17" width="14.5" bestFit="1" customWidth="1"/>
    <col min="18" max="18" width="11.1640625" bestFit="1" customWidth="1"/>
  </cols>
  <sheetData>
    <row r="1" spans="1:27" ht="24">
      <c r="A1" s="37" t="s">
        <v>38</v>
      </c>
      <c r="B1" s="37"/>
      <c r="C1" s="37"/>
      <c r="D1" s="37"/>
      <c r="E1" s="37"/>
      <c r="F1" s="37"/>
      <c r="G1" s="36"/>
      <c r="H1" s="36"/>
      <c r="I1" s="36"/>
      <c r="J1" s="36"/>
      <c r="K1" s="36"/>
      <c r="L1" s="36"/>
      <c r="M1" s="36"/>
      <c r="N1" s="36"/>
      <c r="O1" s="36"/>
      <c r="P1" s="36"/>
      <c r="Q1" s="36"/>
      <c r="R1" s="36"/>
      <c r="S1" s="36"/>
      <c r="T1" s="36"/>
      <c r="U1" s="119"/>
      <c r="V1" s="119"/>
      <c r="W1" s="119"/>
      <c r="X1" s="119"/>
      <c r="Y1" s="119"/>
      <c r="Z1" s="119"/>
      <c r="AA1" s="119"/>
    </row>
    <row r="2" spans="1:27">
      <c r="A2" s="4"/>
      <c r="B2" s="4"/>
      <c r="C2" s="4"/>
      <c r="D2" s="4"/>
      <c r="E2" s="4"/>
      <c r="F2" s="3"/>
      <c r="G2" s="3"/>
      <c r="H2" s="3"/>
      <c r="I2" s="3"/>
      <c r="J2" s="3"/>
    </row>
    <row r="3" spans="1:27">
      <c r="A3" s="4"/>
      <c r="B3" s="4"/>
      <c r="C3" s="4"/>
      <c r="D3" s="4"/>
      <c r="E3" s="4"/>
      <c r="F3" s="3"/>
      <c r="G3" s="3"/>
      <c r="H3" s="3"/>
      <c r="I3" s="3"/>
      <c r="J3" s="3"/>
    </row>
    <row r="4" spans="1:27">
      <c r="A4" s="4"/>
      <c r="B4" s="4"/>
      <c r="C4" s="4"/>
      <c r="D4" s="4"/>
      <c r="E4" s="4"/>
      <c r="F4" s="3"/>
      <c r="G4" s="3"/>
      <c r="H4" s="3"/>
      <c r="I4" s="3"/>
      <c r="J4" s="3"/>
    </row>
    <row r="5" spans="1:27">
      <c r="A5" s="4"/>
      <c r="B5" s="4"/>
      <c r="C5" s="4"/>
      <c r="D5" s="4"/>
      <c r="E5" s="4"/>
      <c r="F5" s="3"/>
      <c r="G5" s="3"/>
      <c r="H5" s="3"/>
      <c r="I5" s="3"/>
      <c r="J5" s="3"/>
    </row>
    <row r="6" spans="1:27">
      <c r="A6" s="4"/>
      <c r="B6" s="4"/>
      <c r="C6" s="4"/>
      <c r="D6" s="4"/>
      <c r="E6" s="4"/>
      <c r="F6" s="3"/>
      <c r="G6" s="3"/>
      <c r="H6" s="3"/>
      <c r="I6" s="3"/>
      <c r="J6" s="3"/>
    </row>
    <row r="7" spans="1:27">
      <c r="A7" s="4"/>
      <c r="B7" s="4"/>
      <c r="C7" s="4"/>
      <c r="D7" s="4"/>
      <c r="E7" s="4"/>
      <c r="F7" s="3"/>
      <c r="G7" s="3"/>
      <c r="H7" s="3"/>
      <c r="I7" s="3"/>
      <c r="J7" s="3"/>
    </row>
    <row r="8" spans="1:27">
      <c r="A8" s="4"/>
      <c r="B8" s="4"/>
      <c r="C8" s="4"/>
      <c r="D8" s="4"/>
      <c r="E8" s="4"/>
      <c r="F8" s="3"/>
      <c r="G8" s="3"/>
      <c r="H8" s="3"/>
      <c r="I8" s="3"/>
      <c r="J8" s="3"/>
    </row>
    <row r="9" spans="1:27">
      <c r="A9" s="4"/>
      <c r="B9" s="4"/>
      <c r="C9" s="4"/>
      <c r="D9" s="4"/>
      <c r="E9" s="4"/>
      <c r="F9" s="3"/>
      <c r="G9" s="3"/>
      <c r="H9" s="3"/>
      <c r="I9" s="3"/>
      <c r="J9" s="3"/>
    </row>
    <row r="10" spans="1:27">
      <c r="A10" s="4"/>
      <c r="B10" s="4"/>
      <c r="C10" s="4"/>
      <c r="D10" s="4"/>
      <c r="E10" s="4"/>
      <c r="F10" s="3"/>
      <c r="G10" s="3"/>
      <c r="H10" s="3"/>
      <c r="I10" s="3"/>
      <c r="J10" s="3"/>
    </row>
    <row r="11" spans="1:27">
      <c r="A11" s="4"/>
      <c r="B11" s="4"/>
      <c r="C11" s="4"/>
      <c r="D11" s="4"/>
      <c r="E11" s="4"/>
      <c r="F11" s="3"/>
      <c r="G11" s="3"/>
      <c r="H11" s="3"/>
      <c r="I11" s="3"/>
      <c r="J11" s="3"/>
    </row>
    <row r="12" spans="1:27">
      <c r="A12" s="4"/>
      <c r="B12" s="4"/>
      <c r="C12" s="4"/>
      <c r="D12" s="4"/>
      <c r="E12" s="4"/>
      <c r="F12" s="3"/>
      <c r="G12" s="3"/>
      <c r="H12" s="3"/>
      <c r="I12" s="3"/>
      <c r="J12" s="3"/>
    </row>
    <row r="13" spans="1:27">
      <c r="A13" s="4"/>
      <c r="B13" s="4"/>
      <c r="C13" s="4"/>
      <c r="D13" s="4"/>
      <c r="E13" s="4"/>
      <c r="F13" s="3"/>
      <c r="G13" s="3"/>
      <c r="H13" s="3"/>
      <c r="I13" s="3"/>
      <c r="J13" s="3"/>
    </row>
    <row r="14" spans="1:27">
      <c r="A14" s="4"/>
      <c r="B14" s="4"/>
      <c r="C14" s="4"/>
      <c r="D14" s="4"/>
      <c r="E14" s="4"/>
      <c r="F14" s="3"/>
      <c r="G14" s="3"/>
      <c r="H14" s="3"/>
      <c r="I14" s="3"/>
      <c r="J14" s="3"/>
    </row>
    <row r="15" spans="1:27">
      <c r="A15" s="4"/>
      <c r="B15" s="4"/>
      <c r="C15" s="4"/>
      <c r="D15" s="4"/>
      <c r="E15" s="4"/>
      <c r="F15" s="3"/>
      <c r="G15" s="3"/>
      <c r="H15" s="3"/>
      <c r="I15" s="3"/>
      <c r="J15" s="3"/>
    </row>
    <row r="16" spans="1:27">
      <c r="A16" s="4"/>
      <c r="B16" s="4"/>
      <c r="C16" s="4"/>
      <c r="D16" s="4"/>
      <c r="E16" s="4"/>
      <c r="F16" s="3"/>
      <c r="G16" s="3"/>
      <c r="H16" s="3"/>
      <c r="I16" s="3"/>
      <c r="J16" s="3"/>
    </row>
    <row r="17" spans="1:10">
      <c r="A17" s="4"/>
      <c r="B17" s="4"/>
      <c r="C17" s="4"/>
      <c r="D17" s="4"/>
      <c r="E17" s="4"/>
      <c r="F17" s="3"/>
      <c r="G17" s="3"/>
      <c r="H17" s="3"/>
      <c r="I17" s="3"/>
      <c r="J17" s="3"/>
    </row>
    <row r="18" spans="1:10">
      <c r="A18" s="4"/>
      <c r="B18" s="4"/>
      <c r="C18" s="4"/>
      <c r="D18" s="4"/>
      <c r="E18" s="4"/>
      <c r="F18" s="3"/>
      <c r="G18" s="3"/>
      <c r="H18" s="3"/>
      <c r="I18" s="3"/>
      <c r="J18" s="3"/>
    </row>
    <row r="19" spans="1:10">
      <c r="A19" s="4"/>
      <c r="B19" s="4"/>
      <c r="C19" s="4"/>
      <c r="D19" s="4"/>
      <c r="E19" s="4"/>
      <c r="F19" s="3"/>
      <c r="G19" s="3"/>
      <c r="H19" s="3"/>
      <c r="I19" s="3"/>
      <c r="J19" s="3"/>
    </row>
    <row r="20" spans="1:10">
      <c r="A20" s="4"/>
      <c r="B20" s="4"/>
      <c r="C20" s="4"/>
      <c r="D20" s="4"/>
      <c r="E20" s="4"/>
      <c r="F20" s="3"/>
      <c r="G20" s="3"/>
      <c r="H20" s="3"/>
      <c r="I20" s="3"/>
      <c r="J20" s="3"/>
    </row>
    <row r="21" spans="1:10">
      <c r="A21" s="4"/>
      <c r="B21" s="4"/>
      <c r="C21" s="4"/>
      <c r="D21" s="4"/>
      <c r="E21" s="4"/>
      <c r="F21" s="3"/>
      <c r="G21" s="3"/>
      <c r="H21" s="3"/>
      <c r="I21" s="3"/>
      <c r="J21" s="3"/>
    </row>
    <row r="22" spans="1:10">
      <c r="A22" s="4"/>
      <c r="B22" s="4"/>
      <c r="C22" s="4"/>
      <c r="D22" s="4"/>
      <c r="E22" s="4"/>
      <c r="F22" s="3"/>
      <c r="G22" s="3"/>
      <c r="H22" s="3"/>
      <c r="I22" s="3"/>
      <c r="J22" s="3"/>
    </row>
    <row r="23" spans="1:10">
      <c r="A23" s="4"/>
      <c r="B23" s="4"/>
      <c r="C23" s="4"/>
      <c r="D23" s="4"/>
      <c r="E23" s="4"/>
      <c r="F23" s="3"/>
      <c r="G23" s="3"/>
      <c r="H23" s="3"/>
      <c r="I23" s="3"/>
      <c r="J23" s="3"/>
    </row>
    <row r="24" spans="1:10">
      <c r="A24" s="4"/>
      <c r="B24" s="4"/>
      <c r="C24" s="4"/>
      <c r="D24" s="4"/>
      <c r="E24" s="4"/>
      <c r="F24" s="3"/>
      <c r="G24" s="3"/>
      <c r="H24" s="3"/>
      <c r="I24" s="3"/>
      <c r="J24" s="3"/>
    </row>
    <row r="25" spans="1:10">
      <c r="A25" s="4"/>
      <c r="B25" s="4"/>
      <c r="C25" s="4"/>
      <c r="D25" s="4"/>
      <c r="E25" s="4"/>
      <c r="F25" s="3"/>
      <c r="G25" s="3"/>
      <c r="H25" s="3"/>
      <c r="I25" s="3"/>
      <c r="J25" s="3"/>
    </row>
    <row r="26" spans="1:10">
      <c r="A26" s="4"/>
      <c r="B26" s="4"/>
      <c r="C26" s="4"/>
      <c r="D26" s="4"/>
      <c r="E26" s="4"/>
      <c r="F26" s="3"/>
      <c r="G26" s="3"/>
      <c r="H26" s="3"/>
      <c r="I26" s="3"/>
      <c r="J26" s="3"/>
    </row>
    <row r="27" spans="1:10">
      <c r="A27" s="4"/>
      <c r="B27" s="4"/>
      <c r="C27" s="4"/>
      <c r="D27" s="4"/>
      <c r="E27" s="4"/>
      <c r="F27" s="3"/>
      <c r="G27" s="3"/>
      <c r="H27" s="3"/>
      <c r="I27" s="3"/>
      <c r="J27" s="3"/>
    </row>
    <row r="28" spans="1:10">
      <c r="A28" s="4"/>
      <c r="B28" s="4"/>
      <c r="C28" s="4"/>
      <c r="D28" s="4"/>
      <c r="E28" s="4"/>
      <c r="F28" s="3"/>
      <c r="G28" s="3"/>
      <c r="H28" s="3"/>
      <c r="I28" s="3"/>
      <c r="J28" s="3"/>
    </row>
    <row r="29" spans="1:10">
      <c r="A29" s="4"/>
      <c r="B29" s="4"/>
      <c r="C29" s="4"/>
      <c r="D29" s="4"/>
      <c r="E29" s="4"/>
      <c r="F29" s="3"/>
      <c r="G29" s="3"/>
      <c r="H29" s="3"/>
      <c r="I29" s="3"/>
      <c r="J29" s="3"/>
    </row>
    <row r="30" spans="1:10">
      <c r="A30" s="4"/>
      <c r="B30" s="4"/>
      <c r="C30" s="4"/>
      <c r="D30" s="4"/>
      <c r="E30" s="4"/>
      <c r="F30" s="3"/>
      <c r="G30" s="3"/>
      <c r="H30" s="3"/>
      <c r="I30" s="3"/>
      <c r="J30" s="3"/>
    </row>
    <row r="31" spans="1:10">
      <c r="A31" s="4"/>
      <c r="B31" s="4"/>
      <c r="C31" s="4"/>
      <c r="D31" s="4"/>
      <c r="E31" s="4"/>
      <c r="F31" s="3"/>
      <c r="G31" s="3"/>
      <c r="H31" s="3"/>
      <c r="I31" s="3"/>
      <c r="J31" s="3"/>
    </row>
    <row r="32" spans="1:10">
      <c r="A32" s="4"/>
      <c r="B32" s="4"/>
      <c r="C32" s="4"/>
      <c r="D32" s="4"/>
      <c r="E32" s="4"/>
      <c r="F32" s="3"/>
      <c r="G32" s="3"/>
      <c r="H32" s="3"/>
      <c r="I32" s="3"/>
      <c r="J32" s="3"/>
    </row>
    <row r="33" spans="1:29">
      <c r="A33" s="4"/>
      <c r="B33" s="4"/>
      <c r="C33" s="4"/>
      <c r="D33" s="4"/>
      <c r="E33" s="4"/>
      <c r="F33" s="3"/>
      <c r="G33" s="3"/>
      <c r="H33" s="3"/>
      <c r="I33" s="3"/>
      <c r="J33" s="3"/>
    </row>
    <row r="34" spans="1:29">
      <c r="A34" s="4"/>
      <c r="B34" s="4"/>
      <c r="C34" s="4"/>
      <c r="D34" s="4"/>
      <c r="E34" s="4"/>
      <c r="F34" s="3"/>
      <c r="G34" s="3"/>
      <c r="H34" s="3"/>
      <c r="I34" s="3"/>
      <c r="J34" s="3"/>
    </row>
    <row r="35" spans="1:29">
      <c r="A35" s="4"/>
      <c r="B35" s="4"/>
      <c r="C35" s="4"/>
      <c r="D35" s="4"/>
      <c r="E35" s="4"/>
      <c r="F35" s="3"/>
      <c r="G35" s="3"/>
      <c r="H35" s="3"/>
      <c r="I35" s="3"/>
      <c r="J35" s="3"/>
    </row>
    <row r="36" spans="1:29">
      <c r="A36" s="4"/>
      <c r="B36" s="4"/>
      <c r="C36" s="4"/>
      <c r="D36" s="4"/>
      <c r="E36" s="4"/>
      <c r="F36" s="3"/>
      <c r="G36" s="3"/>
      <c r="H36" s="3"/>
      <c r="I36" s="3"/>
      <c r="J36" s="3"/>
      <c r="U36" s="112"/>
    </row>
    <row r="37" spans="1:29" ht="17" thickBot="1">
      <c r="A37" s="135"/>
      <c r="B37" s="135"/>
      <c r="C37" s="135"/>
      <c r="D37" s="135"/>
      <c r="E37" s="4"/>
      <c r="F37" s="3"/>
      <c r="G37" s="3"/>
      <c r="H37" s="3"/>
      <c r="I37" s="3"/>
      <c r="J37" s="3"/>
      <c r="U37" s="102"/>
      <c r="V37" s="102"/>
      <c r="W37" s="102"/>
      <c r="X37" s="102"/>
      <c r="Y37" s="102"/>
      <c r="Z37" s="102"/>
      <c r="AA37" s="102"/>
      <c r="AB37" s="102"/>
      <c r="AC37" s="102"/>
    </row>
    <row r="38" spans="1:29" ht="17" thickBot="1">
      <c r="A38" s="132" t="s">
        <v>0</v>
      </c>
      <c r="B38" s="133"/>
      <c r="C38" s="133"/>
      <c r="D38" s="134"/>
      <c r="E38" s="4"/>
      <c r="F38" s="46" t="s">
        <v>1</v>
      </c>
      <c r="G38" s="47"/>
      <c r="H38" s="47"/>
      <c r="I38" s="48"/>
      <c r="J38" s="3"/>
      <c r="K38" s="64" t="s">
        <v>1</v>
      </c>
      <c r="L38" s="49"/>
      <c r="M38" s="49"/>
      <c r="N38" s="50"/>
      <c r="U38" s="112"/>
    </row>
    <row r="39" spans="1:29" ht="18" thickTop="1" thickBot="1">
      <c r="A39" s="125" t="s">
        <v>2</v>
      </c>
      <c r="B39" s="28" t="s">
        <v>3</v>
      </c>
      <c r="C39" s="28" t="s">
        <v>4</v>
      </c>
      <c r="D39" s="131" t="s">
        <v>5</v>
      </c>
      <c r="F39" s="41" t="s">
        <v>6</v>
      </c>
      <c r="G39" s="113" t="s">
        <v>7</v>
      </c>
      <c r="H39" s="113" t="s">
        <v>4</v>
      </c>
      <c r="I39" s="114" t="s">
        <v>5</v>
      </c>
      <c r="J39" s="13"/>
      <c r="K39" s="41" t="s">
        <v>8</v>
      </c>
      <c r="L39" s="113" t="s">
        <v>9</v>
      </c>
      <c r="M39" s="113" t="s">
        <v>4</v>
      </c>
      <c r="N39" s="114" t="s">
        <v>5</v>
      </c>
      <c r="O39" s="56" t="s">
        <v>10</v>
      </c>
      <c r="P39" s="25"/>
      <c r="Q39" s="105" t="s">
        <v>11</v>
      </c>
      <c r="R39" s="106"/>
      <c r="S39" s="106"/>
      <c r="T39" s="107"/>
    </row>
    <row r="40" spans="1:29" ht="18" thickTop="1" thickBot="1">
      <c r="A40" s="127"/>
      <c r="D40" s="82"/>
      <c r="E40" s="82"/>
      <c r="F40" s="136" t="s">
        <v>12</v>
      </c>
      <c r="I40" s="81"/>
      <c r="J40" s="124"/>
      <c r="K40">
        <v>0</v>
      </c>
      <c r="L40" s="79"/>
      <c r="M40" s="80"/>
      <c r="N40" s="81"/>
      <c r="O40" s="115">
        <f>N40*0.1</f>
        <v>0</v>
      </c>
      <c r="Q40" s="104"/>
      <c r="R40" s="108" t="s">
        <v>13</v>
      </c>
      <c r="S40" s="109"/>
      <c r="T40" s="110"/>
    </row>
    <row r="41" spans="1:29" ht="18" thickTop="1" thickBot="1">
      <c r="A41" s="126"/>
      <c r="D41" s="82"/>
      <c r="E41" s="82"/>
      <c r="F41" s="137" t="s">
        <v>14</v>
      </c>
      <c r="I41" s="82"/>
      <c r="J41" s="124"/>
      <c r="K41">
        <v>1</v>
      </c>
      <c r="L41" s="73"/>
      <c r="N41" s="82"/>
      <c r="O41" s="116">
        <f t="shared" ref="O41:O63" si="0">N41*0.1</f>
        <v>0</v>
      </c>
      <c r="Q41" s="103"/>
      <c r="R41" s="108" t="s">
        <v>15</v>
      </c>
      <c r="S41" s="109"/>
      <c r="T41" s="110"/>
    </row>
    <row r="42" spans="1:29" ht="18" thickTop="1" thickBot="1">
      <c r="A42" s="126"/>
      <c r="D42" s="82"/>
      <c r="E42" s="82"/>
      <c r="F42" s="137" t="s">
        <v>16</v>
      </c>
      <c r="I42" s="82"/>
      <c r="J42" s="124"/>
      <c r="K42">
        <v>2</v>
      </c>
      <c r="L42" s="73"/>
      <c r="N42" s="82"/>
      <c r="O42" s="116">
        <f t="shared" si="0"/>
        <v>0</v>
      </c>
      <c r="Q42" s="103"/>
      <c r="R42" s="108" t="s">
        <v>10</v>
      </c>
      <c r="S42" s="109"/>
      <c r="T42" s="110"/>
    </row>
    <row r="43" spans="1:29" ht="17" thickTop="1">
      <c r="A43" s="126"/>
      <c r="D43" s="82"/>
      <c r="E43" s="82"/>
      <c r="F43" s="137" t="s">
        <v>37</v>
      </c>
      <c r="I43" s="82"/>
      <c r="J43" s="124"/>
      <c r="K43">
        <v>3</v>
      </c>
      <c r="L43" s="73"/>
      <c r="N43" s="82"/>
      <c r="O43" s="116">
        <f t="shared" si="0"/>
        <v>0</v>
      </c>
      <c r="Q43" s="38"/>
      <c r="R43" s="38"/>
      <c r="S43" s="38"/>
    </row>
    <row r="44" spans="1:29">
      <c r="A44" s="126"/>
      <c r="D44" s="82"/>
      <c r="E44" s="82"/>
      <c r="F44" s="137" t="s">
        <v>18</v>
      </c>
      <c r="I44" s="82"/>
      <c r="J44" s="124"/>
      <c r="K44">
        <v>4</v>
      </c>
      <c r="L44" s="73"/>
      <c r="N44" s="82"/>
      <c r="O44" s="116">
        <f t="shared" si="0"/>
        <v>0</v>
      </c>
      <c r="Q44" s="38"/>
      <c r="R44" s="38"/>
      <c r="S44" s="38"/>
    </row>
    <row r="45" spans="1:29">
      <c r="A45" s="128"/>
      <c r="B45" s="111"/>
      <c r="D45" s="82"/>
      <c r="E45" s="82"/>
      <c r="F45" s="137" t="s">
        <v>19</v>
      </c>
      <c r="I45" s="82"/>
      <c r="J45" s="124"/>
      <c r="K45">
        <v>5</v>
      </c>
      <c r="L45" s="73"/>
      <c r="N45" s="82"/>
      <c r="O45" s="116">
        <f t="shared" si="0"/>
        <v>0</v>
      </c>
      <c r="R45" s="38"/>
      <c r="S45" s="38"/>
    </row>
    <row r="46" spans="1:29" ht="17" thickBot="1">
      <c r="A46" s="128"/>
      <c r="B46" s="111"/>
      <c r="D46" s="82"/>
      <c r="E46" s="82"/>
      <c r="F46" s="138" t="s">
        <v>20</v>
      </c>
      <c r="G46" s="72"/>
      <c r="H46" s="72"/>
      <c r="I46" s="83"/>
      <c r="J46" s="124"/>
      <c r="K46">
        <v>6</v>
      </c>
      <c r="L46" s="73"/>
      <c r="N46" s="82"/>
      <c r="O46" s="116">
        <f t="shared" si="0"/>
        <v>0</v>
      </c>
      <c r="Q46" s="38"/>
      <c r="R46" s="38"/>
      <c r="S46" s="38"/>
    </row>
    <row r="47" spans="1:29" ht="17" thickBot="1">
      <c r="A47" s="128"/>
      <c r="B47" s="111"/>
      <c r="D47" s="82"/>
      <c r="J47" s="82"/>
      <c r="K47">
        <v>7</v>
      </c>
      <c r="L47" s="73"/>
      <c r="N47" s="82"/>
      <c r="O47" s="116">
        <f t="shared" si="0"/>
        <v>0</v>
      </c>
      <c r="Q47" s="38"/>
      <c r="R47" s="38"/>
      <c r="S47" s="38"/>
    </row>
    <row r="48" spans="1:29" ht="17" thickBot="1">
      <c r="A48" s="128"/>
      <c r="B48" s="111"/>
      <c r="D48" s="82"/>
      <c r="F48" s="56" t="s">
        <v>10</v>
      </c>
      <c r="H48" s="97"/>
      <c r="J48" s="82"/>
      <c r="K48">
        <v>8</v>
      </c>
      <c r="L48" s="73"/>
      <c r="N48" s="82"/>
      <c r="O48" s="116">
        <f t="shared" si="0"/>
        <v>0</v>
      </c>
    </row>
    <row r="49" spans="1:16">
      <c r="A49" s="128"/>
      <c r="B49" s="111"/>
      <c r="D49" s="82"/>
      <c r="F49" s="76">
        <f>I40*0.1</f>
        <v>0</v>
      </c>
      <c r="G49" s="25"/>
      <c r="H49" s="25"/>
      <c r="I49" s="25"/>
      <c r="J49" s="82"/>
      <c r="K49">
        <v>9</v>
      </c>
      <c r="L49" s="73"/>
      <c r="N49" s="82"/>
      <c r="O49" s="116">
        <f t="shared" si="0"/>
        <v>0</v>
      </c>
    </row>
    <row r="50" spans="1:16">
      <c r="A50" s="128"/>
      <c r="B50" s="111"/>
      <c r="D50" s="82"/>
      <c r="F50" s="77">
        <f t="shared" ref="F50:F52" si="1">I41*0.1</f>
        <v>0</v>
      </c>
      <c r="G50" s="67"/>
      <c r="H50" s="67"/>
      <c r="I50" s="67"/>
      <c r="J50" s="82"/>
      <c r="K50">
        <v>10</v>
      </c>
      <c r="L50" s="73"/>
      <c r="N50" s="82"/>
      <c r="O50" s="116">
        <f t="shared" si="0"/>
        <v>0</v>
      </c>
    </row>
    <row r="51" spans="1:16">
      <c r="A51" s="128"/>
      <c r="B51" s="111"/>
      <c r="D51" s="82"/>
      <c r="F51" s="77">
        <f t="shared" si="1"/>
        <v>0</v>
      </c>
      <c r="G51" s="67"/>
      <c r="H51" s="67"/>
      <c r="I51" s="67"/>
      <c r="J51" s="82"/>
      <c r="K51">
        <v>11</v>
      </c>
      <c r="L51" s="73"/>
      <c r="N51" s="82"/>
      <c r="O51" s="116">
        <f t="shared" si="0"/>
        <v>0</v>
      </c>
    </row>
    <row r="52" spans="1:16">
      <c r="A52" s="128"/>
      <c r="B52" s="111"/>
      <c r="D52" s="82"/>
      <c r="F52" s="77">
        <f t="shared" si="1"/>
        <v>0</v>
      </c>
      <c r="G52" s="67"/>
      <c r="H52" s="67"/>
      <c r="I52" s="67"/>
      <c r="J52" s="82"/>
      <c r="K52">
        <v>12</v>
      </c>
      <c r="L52" s="73"/>
      <c r="N52" s="82"/>
      <c r="O52" s="116">
        <f t="shared" si="0"/>
        <v>0</v>
      </c>
    </row>
    <row r="53" spans="1:16" ht="17" thickBot="1">
      <c r="A53" s="129"/>
      <c r="B53" s="130"/>
      <c r="C53" s="72"/>
      <c r="D53" s="83"/>
      <c r="F53" s="77">
        <f>I44*0.1</f>
        <v>0</v>
      </c>
      <c r="G53" s="67"/>
      <c r="H53" s="67"/>
      <c r="I53" s="67"/>
      <c r="J53" s="82"/>
      <c r="K53">
        <v>13</v>
      </c>
      <c r="L53" s="73"/>
      <c r="N53" s="82"/>
      <c r="O53" s="116">
        <f t="shared" si="0"/>
        <v>0</v>
      </c>
    </row>
    <row r="54" spans="1:16" ht="17" thickBot="1">
      <c r="A54" s="26"/>
      <c r="B54" s="33"/>
      <c r="C54" s="33"/>
      <c r="D54" s="33"/>
      <c r="E54" s="2"/>
      <c r="F54" s="77">
        <f>I45*0.1</f>
        <v>0</v>
      </c>
      <c r="G54" s="67"/>
      <c r="H54" s="67"/>
      <c r="I54" s="67"/>
      <c r="J54" s="82"/>
      <c r="K54">
        <v>14</v>
      </c>
      <c r="L54" s="73"/>
      <c r="N54" s="82"/>
      <c r="O54" s="116">
        <f t="shared" si="0"/>
        <v>0</v>
      </c>
    </row>
    <row r="55" spans="1:16" ht="17" thickBot="1">
      <c r="A55" s="26"/>
      <c r="B55" s="120" t="s">
        <v>10</v>
      </c>
      <c r="C55" s="33"/>
      <c r="D55" s="33"/>
      <c r="E55" s="1"/>
      <c r="F55" s="78">
        <f>I46*0.1</f>
        <v>0</v>
      </c>
      <c r="G55" s="67"/>
      <c r="H55" s="67"/>
      <c r="I55" s="67"/>
      <c r="J55" s="82"/>
      <c r="K55">
        <v>15</v>
      </c>
      <c r="L55" s="73"/>
      <c r="N55" s="82"/>
      <c r="O55" s="116">
        <f t="shared" si="0"/>
        <v>0</v>
      </c>
    </row>
    <row r="56" spans="1:16" ht="17" thickTop="1">
      <c r="A56" s="26"/>
      <c r="B56" s="121">
        <f>D40*0.1</f>
        <v>0</v>
      </c>
      <c r="C56" s="33"/>
      <c r="D56" s="33"/>
      <c r="E56" s="1"/>
      <c r="F56" s="13"/>
      <c r="G56" s="67"/>
      <c r="H56" s="67"/>
      <c r="I56" s="67"/>
      <c r="J56" s="82"/>
      <c r="K56">
        <v>16</v>
      </c>
      <c r="L56" s="73"/>
      <c r="N56" s="82"/>
      <c r="O56" s="116">
        <f t="shared" si="0"/>
        <v>0</v>
      </c>
      <c r="P56" s="7"/>
    </row>
    <row r="57" spans="1:16">
      <c r="A57" s="31"/>
      <c r="B57" s="122">
        <f t="shared" ref="B57:B69" si="2">D41*0.1</f>
        <v>0</v>
      </c>
      <c r="C57" s="33"/>
      <c r="D57" s="33"/>
      <c r="E57" s="32"/>
      <c r="F57" s="68"/>
      <c r="G57" s="67"/>
      <c r="H57" s="67"/>
      <c r="I57" s="67"/>
      <c r="J57" s="82"/>
      <c r="K57">
        <v>17</v>
      </c>
      <c r="L57" s="73"/>
      <c r="N57" s="82"/>
      <c r="O57" s="116">
        <f t="shared" si="0"/>
        <v>0</v>
      </c>
    </row>
    <row r="58" spans="1:16">
      <c r="A58" s="31"/>
      <c r="B58" s="122">
        <f t="shared" si="2"/>
        <v>0</v>
      </c>
      <c r="C58" s="33"/>
      <c r="D58" s="33"/>
      <c r="E58" s="32"/>
      <c r="F58" s="70"/>
      <c r="G58" s="69"/>
      <c r="H58" s="69"/>
      <c r="I58" s="11"/>
      <c r="J58" s="82"/>
      <c r="K58">
        <v>18</v>
      </c>
      <c r="L58" s="73"/>
      <c r="N58" s="82"/>
      <c r="O58" s="116">
        <f t="shared" si="0"/>
        <v>0</v>
      </c>
    </row>
    <row r="59" spans="1:16">
      <c r="A59" s="31"/>
      <c r="B59" s="122">
        <f t="shared" si="2"/>
        <v>0</v>
      </c>
      <c r="C59" s="33"/>
      <c r="D59" s="33"/>
      <c r="E59" s="31"/>
      <c r="F59" s="25"/>
      <c r="G59" s="69"/>
      <c r="H59" s="69"/>
      <c r="I59" s="11"/>
      <c r="J59" s="82"/>
      <c r="K59">
        <v>19</v>
      </c>
      <c r="L59" s="73"/>
      <c r="N59" s="82"/>
      <c r="O59" s="116">
        <f t="shared" si="0"/>
        <v>0</v>
      </c>
    </row>
    <row r="60" spans="1:16">
      <c r="A60" s="31"/>
      <c r="B60" s="122">
        <f t="shared" si="2"/>
        <v>0</v>
      </c>
      <c r="C60" s="33"/>
      <c r="D60" s="33"/>
      <c r="E60" s="32"/>
      <c r="F60" s="66"/>
      <c r="G60" s="25"/>
      <c r="H60" s="25"/>
      <c r="I60" s="25"/>
      <c r="J60" s="82"/>
      <c r="K60">
        <v>20</v>
      </c>
      <c r="L60" s="73"/>
      <c r="N60" s="82"/>
      <c r="O60" s="116">
        <f t="shared" si="0"/>
        <v>0</v>
      </c>
    </row>
    <row r="61" spans="1:16">
      <c r="A61" s="31"/>
      <c r="B61" s="122">
        <f t="shared" si="2"/>
        <v>0</v>
      </c>
      <c r="C61" s="33"/>
      <c r="D61" s="33"/>
      <c r="E61" s="32"/>
      <c r="F61" s="66"/>
      <c r="G61" s="67"/>
      <c r="H61" s="67"/>
      <c r="I61" s="67"/>
      <c r="J61" s="82"/>
      <c r="K61">
        <v>21</v>
      </c>
      <c r="L61" s="73"/>
      <c r="N61" s="82"/>
      <c r="O61" s="116">
        <f t="shared" si="0"/>
        <v>0</v>
      </c>
    </row>
    <row r="62" spans="1:16">
      <c r="A62" s="31"/>
      <c r="B62" s="122">
        <f t="shared" si="2"/>
        <v>0</v>
      </c>
      <c r="C62" s="33"/>
      <c r="D62" s="33"/>
      <c r="E62" s="32"/>
      <c r="F62" s="13"/>
      <c r="G62" s="67"/>
      <c r="H62" s="67"/>
      <c r="I62" s="67"/>
      <c r="J62" s="82"/>
      <c r="K62">
        <v>22</v>
      </c>
      <c r="L62" s="73"/>
      <c r="N62" s="82"/>
      <c r="O62" s="116">
        <f t="shared" si="0"/>
        <v>0</v>
      </c>
    </row>
    <row r="63" spans="1:16" ht="17" thickBot="1">
      <c r="A63" s="31"/>
      <c r="B63" s="122">
        <f t="shared" si="2"/>
        <v>0</v>
      </c>
      <c r="C63" s="33"/>
      <c r="D63" s="33"/>
      <c r="E63" s="32"/>
      <c r="F63" s="13"/>
      <c r="G63" s="67"/>
      <c r="H63" s="67"/>
      <c r="I63" s="67"/>
      <c r="J63" s="82"/>
      <c r="K63" s="74">
        <v>23</v>
      </c>
      <c r="L63" s="74"/>
      <c r="M63" s="72"/>
      <c r="N63" s="83"/>
      <c r="O63" s="117">
        <f t="shared" si="0"/>
        <v>0</v>
      </c>
    </row>
    <row r="64" spans="1:16">
      <c r="A64" s="26"/>
      <c r="B64" s="122">
        <f t="shared" si="2"/>
        <v>0</v>
      </c>
      <c r="C64" s="33"/>
      <c r="D64" s="33"/>
      <c r="F64" s="13"/>
      <c r="G64" s="67"/>
      <c r="H64" s="67"/>
      <c r="I64" s="67"/>
      <c r="M64" s="45"/>
      <c r="N64" s="55"/>
      <c r="O64" s="7"/>
    </row>
    <row r="65" spans="1:18">
      <c r="A65" s="26"/>
      <c r="B65" s="122">
        <f t="shared" si="2"/>
        <v>0</v>
      </c>
      <c r="C65" s="27"/>
      <c r="D65" s="27"/>
      <c r="F65" s="13"/>
      <c r="G65" s="67"/>
      <c r="H65" s="67"/>
      <c r="I65" s="67"/>
      <c r="K65" s="38"/>
      <c r="P65" s="7"/>
      <c r="Q65" s="7"/>
      <c r="R65" s="7"/>
    </row>
    <row r="66" spans="1:18">
      <c r="A66" s="26"/>
      <c r="B66" s="122">
        <f t="shared" si="2"/>
        <v>0</v>
      </c>
      <c r="C66" s="27"/>
      <c r="D66" s="27"/>
      <c r="F66" s="13"/>
      <c r="G66" s="67"/>
      <c r="H66" s="67"/>
      <c r="I66" s="67"/>
      <c r="K66" s="25"/>
      <c r="L66" s="25"/>
      <c r="M66" s="25"/>
      <c r="N66" s="25"/>
      <c r="O66" s="25"/>
    </row>
    <row r="67" spans="1:18">
      <c r="A67" s="26"/>
      <c r="B67" s="122">
        <f t="shared" si="2"/>
        <v>0</v>
      </c>
      <c r="C67" s="27"/>
      <c r="D67" s="27"/>
      <c r="G67" s="67"/>
      <c r="H67" s="67"/>
      <c r="I67" s="67"/>
      <c r="K67" s="71"/>
      <c r="L67" s="118"/>
      <c r="M67" s="118"/>
      <c r="N67" s="118"/>
      <c r="O67" s="67"/>
    </row>
    <row r="68" spans="1:18">
      <c r="A68" s="26"/>
      <c r="B68" s="122">
        <f t="shared" si="2"/>
        <v>0</v>
      </c>
      <c r="C68" s="27"/>
      <c r="D68" s="27"/>
      <c r="K68" s="71"/>
      <c r="L68" s="118"/>
      <c r="M68" s="118"/>
      <c r="N68" s="118"/>
      <c r="O68" s="67"/>
    </row>
    <row r="69" spans="1:18" ht="17" thickBot="1">
      <c r="B69" s="123">
        <f t="shared" si="2"/>
        <v>0</v>
      </c>
      <c r="K69" s="13"/>
      <c r="L69" s="118"/>
      <c r="M69" s="118"/>
      <c r="N69" s="118"/>
      <c r="O69" s="67"/>
    </row>
    <row r="70" spans="1:18">
      <c r="K70" s="71"/>
      <c r="L70" s="118"/>
      <c r="M70" s="118"/>
      <c r="N70" s="118"/>
      <c r="O70" s="67"/>
    </row>
    <row r="71" spans="1:18">
      <c r="K71" s="71"/>
      <c r="L71" s="118"/>
      <c r="M71" s="118"/>
      <c r="N71" s="118"/>
      <c r="O71" s="67"/>
    </row>
    <row r="72" spans="1:18">
      <c r="K72" s="13"/>
      <c r="L72" s="118"/>
      <c r="M72" s="118"/>
      <c r="N72" s="118"/>
      <c r="O72" s="67"/>
    </row>
    <row r="73" spans="1:18">
      <c r="K73" s="71"/>
      <c r="L73" s="118"/>
      <c r="M73" s="118"/>
      <c r="N73" s="118"/>
      <c r="O73" s="67"/>
    </row>
    <row r="74" spans="1:18">
      <c r="K74" s="71"/>
      <c r="L74" s="118"/>
      <c r="M74" s="118"/>
      <c r="N74" s="118"/>
      <c r="O74" s="67"/>
    </row>
    <row r="75" spans="1:18">
      <c r="K75" s="13"/>
      <c r="L75" s="118"/>
      <c r="M75" s="118"/>
      <c r="N75" s="118"/>
      <c r="O75" s="67"/>
    </row>
    <row r="76" spans="1:18">
      <c r="K76" s="71"/>
      <c r="L76" s="118"/>
      <c r="M76" s="118"/>
      <c r="N76" s="118"/>
      <c r="O76" s="67"/>
    </row>
    <row r="77" spans="1:18">
      <c r="K77" s="71"/>
      <c r="L77" s="118"/>
      <c r="M77" s="118"/>
      <c r="N77" s="118"/>
      <c r="O77" s="67"/>
    </row>
    <row r="78" spans="1:18">
      <c r="K78" s="13"/>
      <c r="L78" s="118"/>
      <c r="M78" s="118"/>
      <c r="N78" s="118"/>
      <c r="O78" s="67"/>
    </row>
    <row r="79" spans="1:18">
      <c r="K79" s="71"/>
      <c r="L79" s="118"/>
      <c r="M79" s="118"/>
      <c r="N79" s="118"/>
      <c r="O79" s="67"/>
    </row>
    <row r="80" spans="1:18">
      <c r="K80" s="71"/>
      <c r="L80" s="118"/>
      <c r="M80" s="118"/>
      <c r="N80" s="118"/>
      <c r="O80" s="67"/>
    </row>
    <row r="81" spans="11:15">
      <c r="K81" s="13"/>
      <c r="L81" s="118"/>
      <c r="M81" s="118"/>
      <c r="N81" s="118"/>
      <c r="O81" s="67"/>
    </row>
    <row r="82" spans="11:15">
      <c r="K82" s="71"/>
      <c r="L82" s="118"/>
      <c r="M82" s="118"/>
      <c r="N82" s="118"/>
      <c r="O82" s="67"/>
    </row>
    <row r="83" spans="11:15">
      <c r="K83" s="71"/>
      <c r="L83" s="118"/>
      <c r="M83" s="118"/>
      <c r="N83" s="118"/>
      <c r="O83" s="67"/>
    </row>
    <row r="84" spans="11:15">
      <c r="K84" s="13"/>
      <c r="L84" s="118"/>
      <c r="M84" s="118"/>
      <c r="N84" s="118"/>
      <c r="O84" s="67"/>
    </row>
    <row r="85" spans="11:15">
      <c r="K85" s="71"/>
      <c r="L85" s="118"/>
      <c r="M85" s="118"/>
      <c r="N85" s="118"/>
      <c r="O85" s="67"/>
    </row>
    <row r="86" spans="11:15">
      <c r="K86" s="71"/>
      <c r="L86" s="118"/>
      <c r="M86" s="118"/>
      <c r="N86" s="118"/>
      <c r="O86" s="67"/>
    </row>
    <row r="87" spans="11:15">
      <c r="K87" s="13"/>
      <c r="L87" s="118"/>
      <c r="M87" s="118"/>
      <c r="N87" s="118"/>
      <c r="O87" s="67"/>
    </row>
    <row r="88" spans="11:15">
      <c r="K88" s="71"/>
      <c r="L88" s="118"/>
      <c r="M88" s="118"/>
      <c r="N88" s="118"/>
      <c r="O88" s="67"/>
    </row>
    <row r="89" spans="11:15">
      <c r="K89" s="71"/>
      <c r="L89" s="118"/>
      <c r="M89" s="118"/>
      <c r="N89" s="118"/>
      <c r="O89" s="67"/>
    </row>
    <row r="90" spans="11:15">
      <c r="K90" s="13"/>
      <c r="L90" s="118"/>
      <c r="M90" s="118"/>
      <c r="N90" s="118"/>
      <c r="O90" s="67"/>
    </row>
    <row r="92" spans="11:15">
      <c r="K92" s="38"/>
    </row>
    <row r="93" spans="11:15">
      <c r="K93" s="25"/>
      <c r="L93" s="25"/>
      <c r="M93" s="25"/>
      <c r="N93" s="25"/>
    </row>
    <row r="94" spans="11:15">
      <c r="K94" s="71"/>
      <c r="L94" s="3"/>
      <c r="M94" s="67"/>
      <c r="N94" s="67"/>
    </row>
    <row r="95" spans="11:15">
      <c r="K95" s="71"/>
      <c r="L95" s="3"/>
      <c r="M95" s="67"/>
      <c r="N95" s="67"/>
    </row>
    <row r="96" spans="11:15">
      <c r="K96" s="13"/>
      <c r="L96" s="3"/>
      <c r="M96" s="67"/>
      <c r="N96" s="67"/>
    </row>
    <row r="97" spans="11:14">
      <c r="K97" s="71"/>
      <c r="L97" s="3"/>
      <c r="M97" s="67"/>
      <c r="N97" s="67"/>
    </row>
    <row r="98" spans="11:14">
      <c r="K98" s="71"/>
      <c r="L98" s="3"/>
      <c r="M98" s="67"/>
      <c r="N98" s="67"/>
    </row>
    <row r="99" spans="11:14">
      <c r="K99" s="13"/>
      <c r="L99" s="3"/>
      <c r="M99" s="67"/>
      <c r="N99" s="67"/>
    </row>
    <row r="100" spans="11:14">
      <c r="K100" s="71"/>
      <c r="L100" s="3"/>
      <c r="M100" s="67"/>
      <c r="N100" s="67"/>
    </row>
    <row r="101" spans="11:14">
      <c r="K101" s="71"/>
      <c r="L101" s="3"/>
      <c r="M101" s="67"/>
      <c r="N101" s="67"/>
    </row>
    <row r="102" spans="11:14">
      <c r="K102" s="13"/>
      <c r="L102" s="3"/>
      <c r="M102" s="67"/>
      <c r="N102" s="67"/>
    </row>
    <row r="103" spans="11:14">
      <c r="K103" s="71"/>
      <c r="L103" s="3"/>
      <c r="M103" s="67"/>
      <c r="N103" s="67"/>
    </row>
    <row r="104" spans="11:14">
      <c r="K104" s="71"/>
      <c r="L104" s="3"/>
      <c r="M104" s="67"/>
      <c r="N104" s="67"/>
    </row>
    <row r="105" spans="11:14">
      <c r="K105" s="13"/>
      <c r="L105" s="3"/>
      <c r="M105" s="67"/>
      <c r="N105" s="67"/>
    </row>
    <row r="106" spans="11:14">
      <c r="K106" s="71"/>
      <c r="L106" s="3"/>
      <c r="M106" s="67"/>
      <c r="N106" s="67"/>
    </row>
    <row r="107" spans="11:14">
      <c r="K107" s="71"/>
      <c r="L107" s="3"/>
      <c r="M107" s="67"/>
      <c r="N107" s="67"/>
    </row>
    <row r="108" spans="11:14">
      <c r="K108" s="13"/>
      <c r="L108" s="3"/>
      <c r="M108" s="67"/>
      <c r="N108" s="67"/>
    </row>
    <row r="109" spans="11:14">
      <c r="K109" s="71"/>
      <c r="L109" s="3"/>
      <c r="M109" s="67"/>
      <c r="N109" s="67"/>
    </row>
    <row r="110" spans="11:14">
      <c r="K110" s="71"/>
      <c r="L110" s="3"/>
      <c r="M110" s="67"/>
      <c r="N110" s="67"/>
    </row>
    <row r="111" spans="11:14">
      <c r="K111" s="13"/>
      <c r="L111" s="3"/>
      <c r="M111" s="67"/>
      <c r="N111" s="67"/>
    </row>
    <row r="112" spans="11:14">
      <c r="K112" s="71"/>
      <c r="L112" s="3"/>
      <c r="M112" s="67"/>
      <c r="N112" s="67"/>
    </row>
    <row r="113" spans="11:14">
      <c r="K113" s="71"/>
      <c r="L113" s="3"/>
      <c r="M113" s="67"/>
      <c r="N113" s="67"/>
    </row>
    <row r="114" spans="11:14">
      <c r="K114" s="13"/>
      <c r="L114" s="3"/>
      <c r="M114" s="67"/>
      <c r="N114" s="67"/>
    </row>
    <row r="115" spans="11:14">
      <c r="K115" s="71"/>
      <c r="L115" s="3"/>
      <c r="M115" s="67"/>
      <c r="N115" s="67"/>
    </row>
    <row r="116" spans="11:14">
      <c r="K116" s="71"/>
      <c r="L116" s="3"/>
      <c r="M116" s="67"/>
      <c r="N116" s="67"/>
    </row>
    <row r="117" spans="11:14">
      <c r="K117" s="13"/>
      <c r="L117" s="3"/>
      <c r="M117" s="67"/>
      <c r="N117" s="67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Level1">
                <anchor moveWithCells="1" sizeWithCells="1">
                  <from>
                    <xdr:col>20</xdr:col>
                    <xdr:colOff>482600</xdr:colOff>
                    <xdr:row>4</xdr:row>
                    <xdr:rowOff>12700</xdr:rowOff>
                  </from>
                  <to>
                    <xdr:col>23</xdr:col>
                    <xdr:colOff>241300</xdr:colOff>
                    <xdr:row>8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69EC0D-ECB5-0542-8FD7-99F213B8E937}">
  <sheetPr codeName="Sheet2"/>
  <dimension ref="A1:X133"/>
  <sheetViews>
    <sheetView showGridLines="0" zoomScaleNormal="100" workbookViewId="0">
      <selection activeCell="B106" sqref="B106:E119"/>
    </sheetView>
  </sheetViews>
  <sheetFormatPr baseColWidth="10" defaultColWidth="11" defaultRowHeight="16"/>
  <cols>
    <col min="2" max="2" width="12.1640625" bestFit="1" customWidth="1"/>
    <col min="3" max="3" width="11" bestFit="1" customWidth="1"/>
    <col min="4" max="4" width="13.1640625" bestFit="1" customWidth="1"/>
    <col min="5" max="5" width="11.6640625" bestFit="1" customWidth="1"/>
    <col min="6" max="6" width="11" bestFit="1" customWidth="1"/>
    <col min="7" max="7" width="12.1640625" bestFit="1" customWidth="1"/>
    <col min="10" max="10" width="12.1640625" bestFit="1" customWidth="1"/>
    <col min="13" max="13" width="13.1640625" bestFit="1" customWidth="1"/>
    <col min="14" max="14" width="6.6640625" bestFit="1" customWidth="1"/>
    <col min="16" max="16" width="14.5" bestFit="1" customWidth="1"/>
    <col min="17" max="17" width="11.33203125" bestFit="1" customWidth="1"/>
    <col min="18" max="18" width="11" bestFit="1" customWidth="1"/>
    <col min="19" max="22" width="11.6640625" bestFit="1" customWidth="1"/>
    <col min="23" max="24" width="13" bestFit="1" customWidth="1"/>
  </cols>
  <sheetData>
    <row r="1" spans="1:21" ht="26">
      <c r="A1" s="34" t="s">
        <v>21</v>
      </c>
      <c r="B1" s="34"/>
      <c r="C1" s="34"/>
      <c r="D1" s="34"/>
      <c r="E1" s="34"/>
      <c r="F1" s="35"/>
      <c r="G1" s="35"/>
      <c r="H1" s="35"/>
      <c r="I1" s="35"/>
      <c r="J1" s="35"/>
      <c r="K1" s="35"/>
      <c r="L1" s="35"/>
      <c r="M1" s="35"/>
      <c r="N1" s="35"/>
      <c r="O1" s="35"/>
      <c r="P1" s="35"/>
      <c r="Q1" s="35"/>
      <c r="R1" s="35"/>
      <c r="S1" s="35"/>
      <c r="T1" s="35"/>
    </row>
    <row r="2" spans="1:21" ht="26">
      <c r="A2" s="29"/>
      <c r="B2" s="29"/>
      <c r="C2" s="29"/>
      <c r="D2" s="29"/>
      <c r="E2" s="29"/>
      <c r="F2" s="30"/>
      <c r="G2" s="30"/>
      <c r="H2" s="30"/>
      <c r="I2" s="30"/>
      <c r="J2" s="30"/>
      <c r="K2" s="30"/>
      <c r="L2" s="30"/>
      <c r="M2" s="30"/>
      <c r="N2" s="30"/>
      <c r="O2" s="30"/>
      <c r="P2" s="30"/>
      <c r="Q2" s="30"/>
      <c r="R2" s="30"/>
      <c r="S2" s="30"/>
      <c r="T2" s="30"/>
    </row>
    <row r="3" spans="1:21">
      <c r="A3" s="4"/>
      <c r="B3" s="4"/>
      <c r="C3" s="4"/>
      <c r="D3" s="4"/>
      <c r="E3" s="4"/>
      <c r="F3" s="3"/>
      <c r="G3" s="3"/>
      <c r="H3" s="3"/>
      <c r="I3" s="3"/>
      <c r="J3" s="3"/>
      <c r="U3" s="38" t="s">
        <v>22</v>
      </c>
    </row>
    <row r="4" spans="1:21">
      <c r="A4" s="4"/>
      <c r="B4" s="4"/>
      <c r="C4" s="4"/>
      <c r="D4" s="4"/>
      <c r="E4" s="4"/>
      <c r="F4" s="3"/>
      <c r="G4" s="3"/>
      <c r="H4" s="3"/>
      <c r="I4" s="3"/>
      <c r="J4" s="3"/>
      <c r="U4" s="65" t="s">
        <v>23</v>
      </c>
    </row>
    <row r="5" spans="1:21">
      <c r="A5" s="4"/>
      <c r="B5" s="4"/>
      <c r="C5" s="4"/>
      <c r="D5" s="4"/>
      <c r="E5" s="4"/>
      <c r="F5" s="3"/>
      <c r="G5" s="3"/>
      <c r="H5" s="3"/>
      <c r="I5" s="3"/>
      <c r="J5" s="3"/>
    </row>
    <row r="6" spans="1:21">
      <c r="A6" s="4"/>
      <c r="B6" s="4"/>
      <c r="C6" s="4"/>
      <c r="D6" s="4"/>
      <c r="E6" s="4"/>
      <c r="F6" s="3"/>
      <c r="G6" s="3"/>
      <c r="H6" s="3"/>
      <c r="I6" s="3"/>
      <c r="J6" s="3"/>
    </row>
    <row r="7" spans="1:21">
      <c r="A7" s="4"/>
      <c r="B7" s="4"/>
      <c r="C7" s="4"/>
      <c r="D7" s="4"/>
      <c r="E7" s="4"/>
      <c r="F7" s="3"/>
      <c r="G7" s="3"/>
      <c r="H7" s="3"/>
      <c r="I7" s="3"/>
      <c r="J7" s="3"/>
    </row>
    <row r="8" spans="1:21">
      <c r="A8" s="4"/>
      <c r="B8" s="4"/>
      <c r="C8" s="4"/>
      <c r="D8" s="4"/>
      <c r="E8" s="4"/>
      <c r="F8" s="3"/>
      <c r="G8" s="3"/>
      <c r="H8" s="3"/>
      <c r="I8" s="3"/>
      <c r="J8" s="3"/>
    </row>
    <row r="9" spans="1:21">
      <c r="A9" s="4"/>
      <c r="B9" s="4"/>
      <c r="C9" s="4"/>
      <c r="D9" s="4"/>
      <c r="E9" s="4"/>
      <c r="F9" s="3"/>
      <c r="G9" s="3"/>
      <c r="H9" s="3"/>
      <c r="I9" s="3"/>
      <c r="J9" s="3"/>
    </row>
    <row r="10" spans="1:21">
      <c r="A10" s="4"/>
      <c r="B10" s="4"/>
      <c r="C10" s="4"/>
      <c r="D10" s="4"/>
      <c r="E10" s="4"/>
      <c r="F10" s="3"/>
      <c r="G10" s="3"/>
      <c r="H10" s="3"/>
      <c r="I10" s="3"/>
      <c r="J10" s="3"/>
    </row>
    <row r="11" spans="1:21">
      <c r="A11" s="4"/>
      <c r="B11" s="4"/>
      <c r="C11" s="4"/>
      <c r="D11" s="4"/>
      <c r="E11" s="4"/>
      <c r="F11" s="3"/>
      <c r="G11" s="3"/>
      <c r="H11" s="3"/>
      <c r="I11" s="3"/>
      <c r="J11" s="3"/>
    </row>
    <row r="12" spans="1:21">
      <c r="A12" s="4"/>
      <c r="B12" s="4"/>
      <c r="C12" s="4"/>
      <c r="D12" s="4"/>
      <c r="E12" s="4"/>
      <c r="F12" s="3"/>
      <c r="G12" s="3"/>
      <c r="H12" s="3"/>
      <c r="I12" s="3"/>
      <c r="J12" s="3"/>
    </row>
    <row r="13" spans="1:21">
      <c r="A13" s="4"/>
      <c r="B13" s="4"/>
      <c r="C13" s="4"/>
      <c r="D13" s="4"/>
      <c r="E13" s="4"/>
      <c r="F13" s="3"/>
      <c r="G13" s="3"/>
      <c r="H13" s="3"/>
      <c r="I13" s="3"/>
      <c r="J13" s="3"/>
    </row>
    <row r="14" spans="1:21">
      <c r="A14" s="4"/>
      <c r="B14" s="4"/>
      <c r="C14" s="4"/>
      <c r="D14" s="4"/>
      <c r="E14" s="4"/>
      <c r="F14" s="3"/>
      <c r="G14" s="3"/>
      <c r="H14" s="3"/>
      <c r="I14" s="3"/>
      <c r="J14" s="3"/>
    </row>
    <row r="15" spans="1:21">
      <c r="A15" s="4"/>
      <c r="B15" s="4"/>
      <c r="C15" s="4"/>
      <c r="D15" s="4"/>
      <c r="E15" s="4"/>
      <c r="F15" s="3"/>
      <c r="G15" s="3"/>
      <c r="H15" s="3"/>
      <c r="I15" s="3"/>
      <c r="J15" s="3"/>
    </row>
    <row r="16" spans="1:21">
      <c r="A16" s="4"/>
      <c r="B16" s="4"/>
      <c r="C16" s="4"/>
      <c r="D16" s="4"/>
      <c r="E16" s="4"/>
      <c r="F16" s="3"/>
      <c r="G16" s="3"/>
      <c r="H16" s="3"/>
      <c r="I16" s="3"/>
      <c r="J16" s="3"/>
    </row>
    <row r="17" spans="1:21">
      <c r="A17" s="4"/>
      <c r="B17" s="4"/>
      <c r="C17" s="4"/>
      <c r="D17" s="4"/>
      <c r="E17" s="4"/>
      <c r="F17" s="3"/>
      <c r="G17" s="3"/>
      <c r="H17" s="3"/>
      <c r="I17" s="3"/>
      <c r="J17" s="3"/>
    </row>
    <row r="18" spans="1:21">
      <c r="A18" s="4"/>
      <c r="B18" s="4"/>
      <c r="C18" s="4"/>
      <c r="D18" s="4"/>
      <c r="E18" s="4"/>
      <c r="F18" s="3"/>
      <c r="G18" s="3"/>
      <c r="H18" s="3"/>
      <c r="I18" s="3"/>
      <c r="J18" s="3"/>
    </row>
    <row r="19" spans="1:21">
      <c r="A19" s="4"/>
      <c r="B19" s="4"/>
      <c r="C19" s="4"/>
      <c r="D19" s="4"/>
      <c r="E19" s="4"/>
      <c r="F19" s="3"/>
      <c r="G19" s="3"/>
      <c r="H19" s="3"/>
      <c r="I19" s="3"/>
      <c r="J19" s="3"/>
    </row>
    <row r="20" spans="1:21">
      <c r="A20" s="4"/>
      <c r="B20" s="4"/>
      <c r="C20" s="4"/>
      <c r="D20" s="4"/>
      <c r="E20" s="4"/>
      <c r="F20" s="3"/>
      <c r="G20" s="3"/>
      <c r="H20" s="3"/>
      <c r="I20" s="3"/>
      <c r="J20" s="3"/>
      <c r="U20" s="38" t="s">
        <v>24</v>
      </c>
    </row>
    <row r="21" spans="1:21">
      <c r="A21" s="4"/>
      <c r="B21" s="4"/>
      <c r="C21" s="4"/>
      <c r="D21" s="4"/>
      <c r="E21" s="4"/>
      <c r="F21" s="3"/>
      <c r="G21" s="3"/>
      <c r="H21" s="3"/>
      <c r="I21" s="3"/>
      <c r="J21" s="3"/>
      <c r="U21" s="65" t="s">
        <v>25</v>
      </c>
    </row>
    <row r="22" spans="1:21">
      <c r="A22" s="4"/>
      <c r="B22" s="4"/>
      <c r="C22" s="4"/>
      <c r="D22" s="4"/>
      <c r="E22" s="4"/>
      <c r="F22" s="3"/>
      <c r="G22" s="3"/>
      <c r="H22" s="3"/>
      <c r="I22" s="3"/>
      <c r="J22" s="3"/>
    </row>
    <row r="23" spans="1:21">
      <c r="A23" s="4"/>
      <c r="B23" s="4"/>
      <c r="C23" s="4"/>
      <c r="D23" s="4"/>
      <c r="E23" s="4"/>
      <c r="F23" s="3"/>
      <c r="G23" s="3"/>
      <c r="H23" s="3"/>
      <c r="I23" s="3"/>
      <c r="J23" s="3"/>
    </row>
    <row r="24" spans="1:21">
      <c r="A24" s="4"/>
      <c r="B24" s="4"/>
      <c r="C24" s="4"/>
      <c r="D24" s="4"/>
      <c r="E24" s="4"/>
      <c r="F24" s="3"/>
      <c r="G24" s="3"/>
      <c r="H24" s="3"/>
      <c r="I24" s="3"/>
      <c r="J24" s="3"/>
    </row>
    <row r="25" spans="1:21">
      <c r="A25" s="4"/>
      <c r="B25" s="4"/>
      <c r="C25" s="4"/>
      <c r="D25" s="4"/>
      <c r="E25" s="4"/>
      <c r="F25" s="3"/>
      <c r="G25" s="3"/>
      <c r="H25" s="3"/>
      <c r="I25" s="3"/>
      <c r="J25" s="3"/>
    </row>
    <row r="26" spans="1:21">
      <c r="A26" s="4"/>
      <c r="B26" s="4"/>
      <c r="C26" s="4"/>
      <c r="D26" s="4"/>
      <c r="E26" s="4"/>
      <c r="F26" s="3"/>
      <c r="G26" s="3"/>
      <c r="H26" s="3"/>
      <c r="I26" s="3"/>
      <c r="J26" s="3"/>
    </row>
    <row r="27" spans="1:21">
      <c r="A27" s="4"/>
      <c r="B27" s="4"/>
      <c r="C27" s="4"/>
      <c r="D27" s="4"/>
      <c r="E27" s="4"/>
      <c r="F27" s="3"/>
      <c r="G27" s="3"/>
      <c r="H27" s="3"/>
      <c r="I27" s="3"/>
      <c r="J27" s="3"/>
    </row>
    <row r="28" spans="1:21">
      <c r="A28" s="4"/>
      <c r="B28" s="4"/>
      <c r="C28" s="4"/>
      <c r="D28" s="4"/>
      <c r="E28" s="4"/>
      <c r="F28" s="3"/>
      <c r="G28" s="3"/>
      <c r="H28" s="3"/>
      <c r="I28" s="3"/>
      <c r="J28" s="3"/>
    </row>
    <row r="29" spans="1:21">
      <c r="A29" s="4"/>
      <c r="B29" s="4"/>
      <c r="C29" s="4"/>
      <c r="D29" s="4"/>
      <c r="E29" s="4"/>
      <c r="F29" s="3"/>
      <c r="G29" s="3"/>
      <c r="H29" s="3"/>
      <c r="I29" s="3"/>
      <c r="J29" s="3"/>
    </row>
    <row r="30" spans="1:21">
      <c r="A30" s="4"/>
      <c r="B30" s="4"/>
      <c r="C30" s="4"/>
      <c r="D30" s="4"/>
      <c r="E30" s="4"/>
      <c r="F30" s="3"/>
      <c r="G30" s="3"/>
      <c r="H30" s="3"/>
      <c r="I30" s="3"/>
      <c r="J30" s="3"/>
    </row>
    <row r="31" spans="1:21">
      <c r="A31" s="4"/>
      <c r="B31" s="4"/>
      <c r="C31" s="4"/>
      <c r="D31" s="4"/>
      <c r="E31" s="4"/>
      <c r="F31" s="3"/>
      <c r="G31" s="3"/>
      <c r="H31" s="3"/>
      <c r="I31" s="3"/>
      <c r="J31" s="3"/>
    </row>
    <row r="32" spans="1:21">
      <c r="A32" s="4"/>
      <c r="B32" s="4"/>
      <c r="C32" s="4"/>
      <c r="D32" s="4"/>
      <c r="E32" s="4"/>
      <c r="F32" s="3"/>
      <c r="G32" s="3"/>
      <c r="H32" s="3"/>
      <c r="I32" s="3"/>
      <c r="J32" s="3"/>
    </row>
    <row r="33" spans="1:21">
      <c r="A33" s="4"/>
      <c r="B33" s="4"/>
      <c r="C33" s="4"/>
      <c r="D33" s="4"/>
      <c r="E33" s="4"/>
      <c r="F33" s="3"/>
      <c r="G33" s="3"/>
      <c r="H33" s="3"/>
      <c r="I33" s="3"/>
      <c r="J33" s="3"/>
    </row>
    <row r="34" spans="1:21">
      <c r="A34" s="4"/>
      <c r="B34" s="4"/>
      <c r="C34" s="4"/>
      <c r="D34" s="4"/>
      <c r="E34" s="4"/>
      <c r="F34" s="3"/>
      <c r="G34" s="3"/>
      <c r="H34" s="3"/>
      <c r="I34" s="3"/>
      <c r="J34" s="3"/>
    </row>
    <row r="35" spans="1:21">
      <c r="A35" s="4"/>
      <c r="B35" s="4"/>
      <c r="C35" s="4"/>
      <c r="D35" s="4"/>
      <c r="E35" s="4"/>
      <c r="F35" s="3"/>
      <c r="G35" s="3"/>
      <c r="H35" s="3"/>
      <c r="I35" s="3"/>
      <c r="J35" s="3"/>
    </row>
    <row r="36" spans="1:21">
      <c r="A36" s="4"/>
      <c r="B36" s="4"/>
      <c r="C36" s="4"/>
      <c r="D36" s="4"/>
      <c r="E36" s="4"/>
      <c r="F36" s="3"/>
      <c r="G36" s="3"/>
      <c r="H36" s="3"/>
      <c r="I36" s="3"/>
      <c r="J36" s="3"/>
    </row>
    <row r="37" spans="1:21">
      <c r="A37" s="4"/>
      <c r="B37" s="4"/>
      <c r="C37" s="4"/>
      <c r="D37" s="4"/>
      <c r="E37" s="4"/>
      <c r="F37" s="3"/>
      <c r="G37" s="3"/>
      <c r="H37" s="3"/>
      <c r="I37" s="3"/>
      <c r="J37" s="3"/>
      <c r="U37" s="38" t="s">
        <v>26</v>
      </c>
    </row>
    <row r="38" spans="1:21">
      <c r="A38" s="4"/>
      <c r="B38" s="4"/>
      <c r="C38" s="4"/>
      <c r="D38" s="4"/>
      <c r="E38" s="4"/>
      <c r="F38" s="3"/>
      <c r="G38" s="3"/>
      <c r="H38" s="3"/>
      <c r="I38" s="3"/>
      <c r="J38" s="3"/>
      <c r="U38" s="65" t="s">
        <v>27</v>
      </c>
    </row>
    <row r="39" spans="1:21">
      <c r="A39" s="4"/>
      <c r="B39" s="4"/>
      <c r="C39" s="4"/>
      <c r="D39" s="4"/>
      <c r="E39" s="4"/>
      <c r="F39" s="3"/>
      <c r="G39" s="3"/>
      <c r="H39" s="3"/>
      <c r="I39" s="3"/>
      <c r="J39" s="3"/>
    </row>
    <row r="40" spans="1:21">
      <c r="A40" s="4"/>
      <c r="B40" s="4"/>
      <c r="C40" s="4"/>
      <c r="D40" s="4"/>
      <c r="E40" s="4"/>
      <c r="F40" s="3"/>
      <c r="G40" s="3"/>
      <c r="H40" s="3"/>
      <c r="I40" s="3"/>
      <c r="J40" s="3"/>
    </row>
    <row r="41" spans="1:21">
      <c r="A41" s="4"/>
      <c r="B41" s="4"/>
      <c r="C41" s="4"/>
      <c r="D41" s="4"/>
      <c r="E41" s="4"/>
      <c r="F41" s="3"/>
      <c r="G41" s="3"/>
      <c r="H41" s="3"/>
      <c r="I41" s="3"/>
      <c r="J41" s="3"/>
    </row>
    <row r="42" spans="1:21">
      <c r="A42" s="4"/>
      <c r="B42" s="4"/>
      <c r="C42" s="4"/>
      <c r="D42" s="4"/>
      <c r="E42" s="4"/>
      <c r="F42" s="3"/>
      <c r="G42" s="3"/>
      <c r="H42" s="3"/>
      <c r="I42" s="3"/>
      <c r="J42" s="3"/>
    </row>
    <row r="43" spans="1:21">
      <c r="A43" s="4"/>
      <c r="B43" s="4"/>
      <c r="C43" s="4"/>
      <c r="D43" s="4"/>
      <c r="E43" s="4"/>
      <c r="F43" s="3"/>
      <c r="G43" s="3"/>
      <c r="H43" s="3"/>
      <c r="I43" s="3"/>
      <c r="J43" s="3"/>
    </row>
    <row r="44" spans="1:21">
      <c r="A44" s="4"/>
      <c r="B44" s="4"/>
      <c r="C44" s="4"/>
      <c r="D44" s="4"/>
      <c r="E44" s="4"/>
      <c r="F44" s="3"/>
      <c r="G44" s="3"/>
      <c r="H44" s="3"/>
      <c r="I44" s="3"/>
      <c r="J44" s="3"/>
    </row>
    <row r="45" spans="1:21">
      <c r="A45" s="4"/>
      <c r="B45" s="4"/>
      <c r="C45" s="4"/>
      <c r="D45" s="4"/>
      <c r="E45" s="4"/>
      <c r="F45" s="3"/>
      <c r="G45" s="3"/>
      <c r="H45" s="3"/>
      <c r="I45" s="3"/>
      <c r="J45" s="3"/>
    </row>
    <row r="46" spans="1:21">
      <c r="A46" s="4"/>
      <c r="B46" s="4"/>
      <c r="C46" s="4"/>
      <c r="D46" s="4"/>
      <c r="E46" s="4"/>
      <c r="F46" s="3"/>
      <c r="G46" s="3"/>
      <c r="H46" s="3"/>
      <c r="I46" s="3"/>
      <c r="J46" s="3"/>
    </row>
    <row r="47" spans="1:21">
      <c r="A47" s="4"/>
      <c r="B47" s="4"/>
      <c r="C47" s="4"/>
      <c r="D47" s="4"/>
      <c r="E47" s="4"/>
      <c r="F47" s="3"/>
      <c r="G47" s="3"/>
      <c r="H47" s="3"/>
      <c r="I47" s="3"/>
      <c r="J47" s="3"/>
    </row>
    <row r="48" spans="1:21">
      <c r="A48" s="4"/>
      <c r="B48" s="4"/>
      <c r="C48" s="4"/>
      <c r="D48" s="4"/>
      <c r="E48" s="4"/>
      <c r="F48" s="3"/>
      <c r="G48" s="3"/>
      <c r="H48" s="3"/>
      <c r="I48" s="3"/>
      <c r="J48" s="3"/>
    </row>
    <row r="49" spans="1:21">
      <c r="A49" s="4"/>
      <c r="B49" s="4"/>
      <c r="C49" s="4"/>
      <c r="D49" s="4"/>
      <c r="E49" s="4"/>
      <c r="F49" s="3"/>
      <c r="G49" s="3"/>
      <c r="H49" s="3"/>
      <c r="I49" s="3"/>
      <c r="J49" s="3"/>
    </row>
    <row r="50" spans="1:21">
      <c r="A50" s="4"/>
      <c r="B50" s="4"/>
      <c r="C50" s="4"/>
      <c r="D50" s="4"/>
      <c r="E50" s="4"/>
      <c r="F50" s="3"/>
      <c r="G50" s="3"/>
      <c r="H50" s="3"/>
      <c r="I50" s="3"/>
      <c r="J50" s="3"/>
    </row>
    <row r="51" spans="1:21">
      <c r="A51" s="4"/>
      <c r="B51" s="4"/>
      <c r="C51" s="4"/>
      <c r="D51" s="4"/>
      <c r="E51" s="4"/>
      <c r="F51" s="3"/>
      <c r="G51" s="3"/>
      <c r="H51" s="3"/>
      <c r="I51" s="3"/>
      <c r="J51" s="3"/>
    </row>
    <row r="52" spans="1:21">
      <c r="A52" s="4"/>
      <c r="B52" s="4"/>
      <c r="C52" s="4"/>
      <c r="D52" s="4"/>
      <c r="E52" s="4"/>
      <c r="F52" s="3"/>
      <c r="G52" s="3"/>
      <c r="H52" s="3"/>
      <c r="I52" s="3"/>
      <c r="J52" s="3"/>
    </row>
    <row r="53" spans="1:21">
      <c r="A53" s="4"/>
      <c r="B53" s="4"/>
      <c r="C53" s="4"/>
      <c r="D53" s="4"/>
      <c r="E53" s="4"/>
      <c r="F53" s="3"/>
      <c r="G53" s="3"/>
      <c r="H53" s="3"/>
    </row>
    <row r="54" spans="1:21">
      <c r="U54" s="38" t="s">
        <v>28</v>
      </c>
    </row>
    <row r="55" spans="1:21">
      <c r="U55" s="65" t="s">
        <v>29</v>
      </c>
    </row>
    <row r="61" spans="1:21">
      <c r="J61" s="12"/>
      <c r="K61" s="5"/>
    </row>
    <row r="67" spans="1:24">
      <c r="A67" s="9"/>
      <c r="E67" s="2"/>
    </row>
    <row r="68" spans="1:24">
      <c r="E68" s="1"/>
      <c r="F68" s="2"/>
      <c r="G68" s="2"/>
      <c r="H68" s="2"/>
      <c r="I68" s="2"/>
    </row>
    <row r="69" spans="1:24">
      <c r="E69" s="1"/>
      <c r="F69" s="10"/>
      <c r="G69" s="8"/>
      <c r="H69" s="8"/>
      <c r="I69" s="11"/>
    </row>
    <row r="70" spans="1:24">
      <c r="E70" s="1"/>
      <c r="F70" s="10"/>
      <c r="G70" s="8"/>
      <c r="H70" s="8"/>
      <c r="I70" s="11"/>
      <c r="O70" s="7"/>
    </row>
    <row r="71" spans="1:24">
      <c r="E71" s="1"/>
      <c r="F71" s="10"/>
      <c r="G71" s="8"/>
      <c r="H71" s="8"/>
      <c r="I71" s="11"/>
      <c r="P71" s="25"/>
      <c r="Q71" s="25"/>
      <c r="R71" s="25"/>
      <c r="S71" s="25"/>
    </row>
    <row r="72" spans="1:24">
      <c r="E72" s="1"/>
      <c r="F72" s="10"/>
      <c r="G72" s="8"/>
      <c r="H72" s="8"/>
      <c r="I72" s="11"/>
      <c r="Q72" s="38"/>
      <c r="R72" s="38"/>
      <c r="S72" s="38"/>
    </row>
    <row r="73" spans="1:24">
      <c r="E73" s="1"/>
      <c r="F73" s="10"/>
      <c r="G73" s="8"/>
      <c r="H73" s="8"/>
      <c r="I73" s="11"/>
      <c r="Q73" s="38"/>
      <c r="R73" s="38"/>
      <c r="S73" s="38"/>
    </row>
    <row r="74" spans="1:24" ht="17" thickBot="1">
      <c r="E74" s="1"/>
      <c r="F74" s="10"/>
      <c r="G74" s="8"/>
      <c r="H74" s="8"/>
      <c r="I74" s="11"/>
      <c r="Q74" s="38"/>
      <c r="R74" s="38"/>
      <c r="S74" s="38"/>
    </row>
    <row r="75" spans="1:24" ht="17" thickBot="1">
      <c r="E75" s="1"/>
      <c r="F75" s="10"/>
      <c r="G75" s="8"/>
      <c r="H75" s="8"/>
      <c r="I75" s="11"/>
      <c r="P75" s="42" t="s">
        <v>11</v>
      </c>
      <c r="Q75" s="43"/>
      <c r="R75" s="43"/>
      <c r="S75" s="44"/>
    </row>
    <row r="76" spans="1:24" ht="17" thickBot="1">
      <c r="A76" s="41" t="s">
        <v>2</v>
      </c>
      <c r="B76" s="56" t="s">
        <v>30</v>
      </c>
      <c r="C76" s="56" t="s">
        <v>31</v>
      </c>
      <c r="D76" s="56" t="s">
        <v>32</v>
      </c>
      <c r="E76" s="56" t="s">
        <v>33</v>
      </c>
      <c r="F76" s="10"/>
      <c r="G76" s="8"/>
      <c r="H76" s="8"/>
      <c r="I76" s="57" t="s">
        <v>6</v>
      </c>
      <c r="J76" s="75" t="s">
        <v>34</v>
      </c>
      <c r="K76" s="75" t="s">
        <v>31</v>
      </c>
      <c r="L76" s="75" t="s">
        <v>32</v>
      </c>
      <c r="M76" s="75" t="s">
        <v>33</v>
      </c>
      <c r="P76" s="51"/>
      <c r="Q76" s="52" t="s">
        <v>35</v>
      </c>
      <c r="R76" s="53"/>
      <c r="S76" s="54"/>
    </row>
    <row r="77" spans="1:24" ht="18" thickBot="1">
      <c r="A77" s="23">
        <v>43344</v>
      </c>
      <c r="B77" s="22"/>
      <c r="C77" s="22"/>
      <c r="D77" s="22"/>
      <c r="E77" s="22"/>
      <c r="I77" s="14" t="s">
        <v>12</v>
      </c>
      <c r="J77" s="86"/>
      <c r="K77" s="87"/>
      <c r="L77" s="87"/>
      <c r="M77" s="88"/>
      <c r="P77" s="60"/>
      <c r="Q77" s="61" t="s">
        <v>36</v>
      </c>
      <c r="R77" s="62"/>
      <c r="S77" s="63"/>
    </row>
    <row r="78" spans="1:24" ht="17">
      <c r="A78" s="23">
        <v>43374</v>
      </c>
      <c r="B78" s="22"/>
      <c r="C78" s="22"/>
      <c r="D78" s="22"/>
      <c r="E78" s="22"/>
      <c r="I78" s="15" t="s">
        <v>14</v>
      </c>
      <c r="J78" s="89"/>
      <c r="K78" s="32"/>
      <c r="L78" s="32"/>
      <c r="M78" s="90"/>
    </row>
    <row r="79" spans="1:24" ht="17" thickBot="1">
      <c r="A79" s="23">
        <v>43405</v>
      </c>
      <c r="B79" s="22"/>
      <c r="C79" s="22"/>
      <c r="D79" s="22"/>
      <c r="E79" s="22"/>
      <c r="I79" s="16" t="s">
        <v>16</v>
      </c>
      <c r="J79" s="89"/>
      <c r="K79" s="32"/>
      <c r="L79" s="32"/>
      <c r="M79" s="90"/>
      <c r="N79" s="6"/>
      <c r="O79" s="7"/>
      <c r="P79" s="7"/>
      <c r="Q79" s="7"/>
    </row>
    <row r="80" spans="1:24" ht="17" thickBot="1">
      <c r="A80" s="23">
        <v>43435</v>
      </c>
      <c r="B80" s="22"/>
      <c r="C80" s="22"/>
      <c r="D80" s="22"/>
      <c r="E80" s="22"/>
      <c r="I80" s="16" t="s">
        <v>17</v>
      </c>
      <c r="J80" s="89"/>
      <c r="K80" s="32"/>
      <c r="L80" s="32"/>
      <c r="M80" s="90"/>
      <c r="N80" s="2"/>
      <c r="P80" s="56" t="s">
        <v>8</v>
      </c>
      <c r="Q80" s="56" t="s">
        <v>30</v>
      </c>
      <c r="R80" s="56" t="s">
        <v>31</v>
      </c>
      <c r="S80" s="56" t="s">
        <v>32</v>
      </c>
      <c r="T80" s="56" t="s">
        <v>33</v>
      </c>
      <c r="U80" s="58">
        <v>0.03</v>
      </c>
      <c r="V80" s="58">
        <v>0.02</v>
      </c>
      <c r="W80" s="58">
        <v>0.01</v>
      </c>
      <c r="X80" s="59">
        <v>5.0000000000000001E-3</v>
      </c>
    </row>
    <row r="81" spans="1:24">
      <c r="A81" s="23">
        <v>43466</v>
      </c>
      <c r="B81" s="22"/>
      <c r="C81" s="22"/>
      <c r="D81" s="22"/>
      <c r="E81" s="22"/>
      <c r="I81" s="16" t="s">
        <v>18</v>
      </c>
      <c r="J81" s="89"/>
      <c r="K81" s="32"/>
      <c r="L81" s="32"/>
      <c r="M81" s="90"/>
      <c r="N81" s="2"/>
      <c r="P81" s="39">
        <v>0</v>
      </c>
      <c r="Q81" s="79"/>
      <c r="R81" s="80"/>
      <c r="S81" s="80"/>
      <c r="T81" s="80"/>
      <c r="U81" s="84"/>
      <c r="V81" s="84"/>
      <c r="W81" s="84"/>
      <c r="X81" s="94"/>
    </row>
    <row r="82" spans="1:24">
      <c r="A82" s="23">
        <v>43497</v>
      </c>
      <c r="B82" s="22"/>
      <c r="C82" s="22"/>
      <c r="D82" s="22"/>
      <c r="E82" s="22"/>
      <c r="I82" s="16" t="s">
        <v>19</v>
      </c>
      <c r="J82" s="89"/>
      <c r="K82" s="32"/>
      <c r="L82" s="32"/>
      <c r="M82" s="90"/>
      <c r="N82" s="2"/>
      <c r="P82" s="40">
        <v>1</v>
      </c>
      <c r="Q82" s="73"/>
      <c r="U82" s="3"/>
      <c r="V82" s="3"/>
      <c r="W82" s="3"/>
      <c r="X82" s="95"/>
    </row>
    <row r="83" spans="1:24" ht="17" thickBot="1">
      <c r="A83" s="23">
        <v>43525</v>
      </c>
      <c r="B83" s="22"/>
      <c r="C83" s="22"/>
      <c r="D83" s="22"/>
      <c r="E83" s="22"/>
      <c r="I83" s="17" t="s">
        <v>20</v>
      </c>
      <c r="J83" s="91"/>
      <c r="K83" s="92"/>
      <c r="L83" s="92"/>
      <c r="M83" s="93"/>
      <c r="N83" s="2"/>
      <c r="P83" s="16">
        <v>2</v>
      </c>
      <c r="Q83" s="73"/>
      <c r="U83" s="3"/>
      <c r="V83" s="3"/>
      <c r="W83" s="3"/>
      <c r="X83" s="95"/>
    </row>
    <row r="84" spans="1:24" ht="17" thickBot="1">
      <c r="A84" s="23">
        <v>43556</v>
      </c>
      <c r="B84" s="22"/>
      <c r="C84" s="22"/>
      <c r="D84" s="22"/>
      <c r="E84" s="22"/>
      <c r="L84" s="1"/>
      <c r="M84" s="2"/>
      <c r="N84" s="2"/>
      <c r="P84" s="40">
        <v>3</v>
      </c>
      <c r="Q84" s="73"/>
      <c r="U84" s="3"/>
      <c r="V84" s="3"/>
      <c r="W84" s="3"/>
      <c r="X84" s="95"/>
    </row>
    <row r="85" spans="1:24" ht="17" thickBot="1">
      <c r="A85" s="23">
        <v>43586</v>
      </c>
      <c r="B85" s="22"/>
      <c r="C85" s="22"/>
      <c r="D85" s="22"/>
      <c r="E85" s="22"/>
      <c r="I85" s="38"/>
      <c r="J85" s="58">
        <v>0.03</v>
      </c>
      <c r="K85" s="58">
        <v>0.02</v>
      </c>
      <c r="L85" s="58">
        <v>0.01</v>
      </c>
      <c r="M85" s="58">
        <v>5.0000000000000001E-3</v>
      </c>
      <c r="N85" s="2"/>
      <c r="P85" s="40">
        <v>4</v>
      </c>
      <c r="Q85" s="73"/>
      <c r="U85" s="3"/>
      <c r="V85" s="3"/>
      <c r="W85" s="3"/>
      <c r="X85" s="95"/>
    </row>
    <row r="86" spans="1:24">
      <c r="A86" s="23">
        <v>43617</v>
      </c>
      <c r="B86" s="22"/>
      <c r="C86" s="22"/>
      <c r="D86" s="22"/>
      <c r="E86" s="22"/>
      <c r="J86" s="79"/>
      <c r="K86" s="80"/>
      <c r="L86" s="80"/>
      <c r="M86" s="81"/>
      <c r="N86" s="2"/>
      <c r="P86" s="16">
        <v>5</v>
      </c>
      <c r="Q86" s="73"/>
      <c r="U86" s="3"/>
      <c r="V86" s="3"/>
      <c r="W86" s="3"/>
      <c r="X86" s="95"/>
    </row>
    <row r="87" spans="1:24">
      <c r="A87" s="23">
        <v>43647</v>
      </c>
      <c r="B87" s="22"/>
      <c r="C87" s="22"/>
      <c r="D87" s="22"/>
      <c r="E87" s="22"/>
      <c r="J87" s="73"/>
      <c r="M87" s="82"/>
      <c r="N87" s="2"/>
      <c r="P87" s="40">
        <v>6</v>
      </c>
      <c r="Q87" s="73"/>
      <c r="U87" s="3"/>
      <c r="V87" s="3"/>
      <c r="W87" s="3"/>
      <c r="X87" s="95"/>
    </row>
    <row r="88" spans="1:24">
      <c r="A88" s="23">
        <v>43678</v>
      </c>
      <c r="B88" s="22"/>
      <c r="C88" s="22"/>
      <c r="D88" s="22"/>
      <c r="E88" s="22"/>
      <c r="J88" s="73"/>
      <c r="M88" s="82"/>
      <c r="N88" s="2"/>
      <c r="P88" s="40">
        <v>7</v>
      </c>
      <c r="Q88" s="73"/>
      <c r="U88" s="3"/>
      <c r="V88" s="3"/>
      <c r="W88" s="3"/>
      <c r="X88" s="95"/>
    </row>
    <row r="89" spans="1:24">
      <c r="A89" s="23">
        <v>43709</v>
      </c>
      <c r="B89" s="22"/>
      <c r="C89" s="22"/>
      <c r="D89" s="22"/>
      <c r="E89" s="22"/>
      <c r="J89" s="73"/>
      <c r="M89" s="82"/>
      <c r="N89" s="2"/>
      <c r="P89" s="16">
        <v>8</v>
      </c>
      <c r="Q89" s="73"/>
      <c r="U89" s="3"/>
      <c r="V89" s="3"/>
      <c r="W89" s="3"/>
      <c r="X89" s="95"/>
    </row>
    <row r="90" spans="1:24">
      <c r="A90" s="23"/>
      <c r="B90" s="18"/>
      <c r="C90" s="22"/>
      <c r="D90" s="22"/>
      <c r="E90" s="22"/>
      <c r="J90" s="73"/>
      <c r="M90" s="82"/>
      <c r="N90" s="2"/>
      <c r="P90" s="40">
        <v>9</v>
      </c>
      <c r="Q90" s="73"/>
      <c r="U90" s="3"/>
      <c r="V90" s="3"/>
      <c r="W90" s="3"/>
      <c r="X90" s="95"/>
    </row>
    <row r="91" spans="1:24">
      <c r="A91" s="23"/>
      <c r="B91" s="18"/>
      <c r="C91" s="22"/>
      <c r="D91" s="22"/>
      <c r="E91" s="22"/>
      <c r="J91" s="73"/>
      <c r="M91" s="82"/>
      <c r="N91" s="2"/>
      <c r="P91" s="40">
        <v>10</v>
      </c>
      <c r="Q91" s="73"/>
      <c r="U91" s="3"/>
      <c r="V91" s="3"/>
      <c r="W91" s="3"/>
      <c r="X91" s="95"/>
    </row>
    <row r="92" spans="1:24" ht="17" thickBot="1">
      <c r="A92" s="23"/>
      <c r="B92" s="18"/>
      <c r="C92" s="22"/>
      <c r="D92" s="22"/>
      <c r="E92" s="22"/>
      <c r="J92" s="74"/>
      <c r="K92" s="72"/>
      <c r="L92" s="72"/>
      <c r="M92" s="83"/>
      <c r="N92" s="2"/>
      <c r="P92" s="16">
        <v>11</v>
      </c>
      <c r="Q92" s="73"/>
      <c r="U92" s="3"/>
      <c r="V92" s="3"/>
      <c r="W92" s="3"/>
      <c r="X92" s="95"/>
    </row>
    <row r="93" spans="1:24">
      <c r="A93" s="23"/>
      <c r="B93" s="18"/>
      <c r="C93" s="22"/>
      <c r="D93" s="22"/>
      <c r="E93" s="22"/>
      <c r="L93" s="1"/>
      <c r="M93" s="2"/>
      <c r="N93" s="2"/>
      <c r="P93" s="40">
        <v>12</v>
      </c>
      <c r="Q93" s="73"/>
      <c r="U93" s="3"/>
      <c r="V93" s="3"/>
      <c r="W93" s="3"/>
      <c r="X93" s="95"/>
    </row>
    <row r="94" spans="1:24">
      <c r="A94" s="23"/>
      <c r="B94" s="18"/>
      <c r="C94" s="18"/>
      <c r="D94" s="18"/>
      <c r="E94" s="18"/>
      <c r="L94" s="1"/>
      <c r="M94" s="2"/>
      <c r="N94" s="2"/>
      <c r="P94" s="40">
        <v>13</v>
      </c>
      <c r="Q94" s="73"/>
      <c r="U94" s="3"/>
      <c r="V94" s="3"/>
      <c r="W94" s="3"/>
      <c r="X94" s="95"/>
    </row>
    <row r="95" spans="1:24">
      <c r="A95" s="23"/>
      <c r="B95" s="18"/>
      <c r="C95" s="18"/>
      <c r="D95" s="18"/>
      <c r="E95" s="18"/>
      <c r="F95" s="2"/>
      <c r="G95" s="2"/>
      <c r="H95" s="2"/>
      <c r="I95" s="2"/>
      <c r="J95" s="20"/>
      <c r="K95" s="20"/>
      <c r="L95" s="20"/>
      <c r="M95" s="21"/>
      <c r="N95" s="2"/>
      <c r="P95" s="16">
        <v>14</v>
      </c>
      <c r="Q95" s="73"/>
      <c r="U95" s="3"/>
      <c r="V95" s="3"/>
      <c r="W95" s="3"/>
      <c r="X95" s="95"/>
    </row>
    <row r="96" spans="1:24">
      <c r="A96" s="23"/>
      <c r="B96" s="18"/>
      <c r="C96" s="18"/>
      <c r="D96" s="18"/>
      <c r="E96" s="18"/>
      <c r="F96" s="7"/>
      <c r="G96" s="7"/>
      <c r="H96" s="7"/>
      <c r="I96" s="7"/>
      <c r="J96" s="7"/>
      <c r="K96" s="7"/>
      <c r="L96" s="7"/>
      <c r="M96" s="7"/>
      <c r="N96" s="2"/>
      <c r="P96" s="40">
        <v>15</v>
      </c>
      <c r="Q96" s="73"/>
      <c r="U96" s="3"/>
      <c r="V96" s="3"/>
      <c r="W96" s="3"/>
      <c r="X96" s="95"/>
    </row>
    <row r="97" spans="1:24">
      <c r="A97" s="23"/>
      <c r="B97" s="18"/>
      <c r="C97" s="18"/>
      <c r="D97" s="18"/>
      <c r="E97" s="18"/>
      <c r="F97" s="7"/>
      <c r="G97" s="7"/>
      <c r="H97" s="7"/>
      <c r="I97" s="7"/>
      <c r="J97" s="7"/>
      <c r="K97" s="7"/>
      <c r="L97" s="7"/>
      <c r="M97" s="7"/>
      <c r="N97" s="2"/>
      <c r="P97" s="40">
        <v>16</v>
      </c>
      <c r="Q97" s="73"/>
      <c r="U97" s="3"/>
      <c r="V97" s="3"/>
      <c r="W97" s="3"/>
      <c r="X97" s="95"/>
    </row>
    <row r="98" spans="1:24">
      <c r="A98" s="23"/>
      <c r="B98" s="18"/>
      <c r="C98" s="18"/>
      <c r="D98" s="18"/>
      <c r="E98" s="18"/>
      <c r="F98" s="7"/>
      <c r="G98" s="7"/>
      <c r="H98" s="7"/>
      <c r="I98" s="7"/>
      <c r="J98" s="7"/>
      <c r="K98" s="7"/>
      <c r="L98" s="7"/>
      <c r="M98" s="7"/>
      <c r="N98" s="2"/>
      <c r="P98" s="16">
        <v>17</v>
      </c>
      <c r="Q98" s="73"/>
      <c r="U98" s="3"/>
      <c r="V98" s="3"/>
      <c r="W98" s="3"/>
      <c r="X98" s="95"/>
    </row>
    <row r="99" spans="1:24">
      <c r="A99" s="23"/>
      <c r="B99" s="18"/>
      <c r="C99" s="18"/>
      <c r="D99" s="18"/>
      <c r="E99" s="18"/>
      <c r="F99" s="7"/>
      <c r="G99" s="7"/>
      <c r="H99" s="7"/>
      <c r="I99" s="7"/>
      <c r="J99" s="7"/>
      <c r="K99" s="7"/>
      <c r="L99" s="7"/>
      <c r="M99" s="7"/>
      <c r="N99" s="2"/>
      <c r="P99" s="40">
        <v>18</v>
      </c>
      <c r="Q99" s="73"/>
      <c r="U99" s="3"/>
      <c r="V99" s="3"/>
      <c r="W99" s="3"/>
      <c r="X99" s="95"/>
    </row>
    <row r="100" spans="1:24">
      <c r="A100" s="23"/>
      <c r="B100" s="18"/>
      <c r="C100" s="18"/>
      <c r="D100" s="18"/>
      <c r="E100" s="18"/>
      <c r="F100" s="7"/>
      <c r="G100" s="7"/>
      <c r="H100" s="7"/>
      <c r="I100" s="7"/>
      <c r="J100" s="7"/>
      <c r="K100" s="7"/>
      <c r="L100" s="7"/>
      <c r="M100" s="7"/>
      <c r="N100" s="2"/>
      <c r="P100" s="40">
        <v>19</v>
      </c>
      <c r="Q100" s="73"/>
      <c r="U100" s="3"/>
      <c r="V100" s="3"/>
      <c r="W100" s="3"/>
      <c r="X100" s="95"/>
    </row>
    <row r="101" spans="1:24">
      <c r="A101" s="23"/>
      <c r="B101" s="18"/>
      <c r="C101" s="18"/>
      <c r="D101" s="18"/>
      <c r="E101" s="18"/>
      <c r="F101" s="7"/>
      <c r="G101" s="7"/>
      <c r="H101" s="7"/>
      <c r="I101" s="7"/>
      <c r="J101" s="7"/>
      <c r="K101" s="7"/>
      <c r="L101" s="7"/>
      <c r="M101" s="7"/>
      <c r="N101" s="2"/>
      <c r="P101" s="16">
        <v>20</v>
      </c>
      <c r="Q101" s="73"/>
      <c r="U101" s="3"/>
      <c r="V101" s="3"/>
      <c r="W101" s="3"/>
      <c r="X101" s="95"/>
    </row>
    <row r="102" spans="1:24">
      <c r="A102" s="23"/>
      <c r="B102" s="18"/>
      <c r="C102" s="18"/>
      <c r="D102" s="18"/>
      <c r="E102" s="18"/>
      <c r="F102" s="7"/>
      <c r="G102" s="7"/>
      <c r="H102" s="7"/>
      <c r="I102" s="7"/>
      <c r="J102" s="7"/>
      <c r="K102" s="7"/>
      <c r="L102" s="7"/>
      <c r="M102" s="7"/>
      <c r="N102" s="2"/>
      <c r="P102" s="40">
        <v>21</v>
      </c>
      <c r="Q102" s="73"/>
      <c r="U102" s="3"/>
      <c r="V102" s="3"/>
      <c r="W102" s="3"/>
      <c r="X102" s="95"/>
    </row>
    <row r="103" spans="1:24">
      <c r="A103" s="23"/>
      <c r="B103" s="18"/>
      <c r="C103" s="18"/>
      <c r="D103" s="18"/>
      <c r="E103" s="18"/>
      <c r="L103" s="1"/>
      <c r="M103" s="2"/>
      <c r="N103" s="2"/>
      <c r="P103" s="40">
        <v>22</v>
      </c>
      <c r="Q103" s="73"/>
      <c r="U103" s="3"/>
      <c r="V103" s="3"/>
      <c r="W103" s="3"/>
      <c r="X103" s="95"/>
    </row>
    <row r="104" spans="1:24" ht="17" thickBot="1">
      <c r="A104" s="24"/>
      <c r="B104" s="19"/>
      <c r="C104" s="19"/>
      <c r="D104" s="19"/>
      <c r="E104" s="19"/>
      <c r="L104" s="1"/>
      <c r="M104" s="2"/>
      <c r="N104" s="2"/>
      <c r="P104" s="17">
        <v>23</v>
      </c>
      <c r="Q104" s="74"/>
      <c r="R104" s="72"/>
      <c r="S104" s="72"/>
      <c r="T104" s="72"/>
      <c r="U104" s="85"/>
      <c r="V104" s="85"/>
      <c r="W104" s="85"/>
      <c r="X104" s="96"/>
    </row>
    <row r="105" spans="1:24" ht="17" thickBot="1">
      <c r="B105" s="58">
        <v>0.03</v>
      </c>
      <c r="C105" s="58">
        <v>0.02</v>
      </c>
      <c r="D105" s="58">
        <v>0.01</v>
      </c>
      <c r="E105" s="59">
        <v>5.0000000000000001E-3</v>
      </c>
    </row>
    <row r="106" spans="1:24">
      <c r="B106" s="22"/>
      <c r="C106" s="22"/>
      <c r="D106" s="22"/>
      <c r="E106" s="22"/>
    </row>
    <row r="107" spans="1:24">
      <c r="B107" s="22"/>
      <c r="C107" s="22"/>
      <c r="D107" s="22"/>
      <c r="E107" s="22"/>
      <c r="P107" s="2"/>
      <c r="Q107" s="2"/>
      <c r="R107" s="2"/>
      <c r="S107" s="2"/>
      <c r="T107" s="20"/>
      <c r="U107" s="20"/>
      <c r="V107" s="20"/>
      <c r="W107" s="21"/>
    </row>
    <row r="108" spans="1:24">
      <c r="B108" s="22"/>
      <c r="C108" s="22"/>
      <c r="D108" s="22"/>
      <c r="E108" s="22"/>
    </row>
    <row r="109" spans="1:24">
      <c r="B109" s="22"/>
      <c r="C109" s="22"/>
      <c r="D109" s="22"/>
      <c r="E109" s="22"/>
    </row>
    <row r="110" spans="1:24">
      <c r="B110" s="22"/>
      <c r="C110" s="22"/>
      <c r="D110" s="22"/>
      <c r="E110" s="22"/>
    </row>
    <row r="111" spans="1:24">
      <c r="B111" s="22"/>
      <c r="C111" s="22"/>
      <c r="D111" s="22"/>
      <c r="E111" s="22"/>
    </row>
    <row r="112" spans="1:24">
      <c r="B112" s="22"/>
      <c r="C112" s="22"/>
      <c r="D112" s="22"/>
      <c r="E112" s="22"/>
    </row>
    <row r="113" spans="2:5">
      <c r="B113" s="22"/>
      <c r="C113" s="22"/>
      <c r="D113" s="22"/>
      <c r="E113" s="22"/>
    </row>
    <row r="114" spans="2:5">
      <c r="B114" s="22"/>
      <c r="C114" s="22"/>
      <c r="D114" s="22"/>
      <c r="E114" s="22"/>
    </row>
    <row r="115" spans="2:5">
      <c r="B115" s="22"/>
      <c r="C115" s="22"/>
      <c r="D115" s="22"/>
      <c r="E115" s="22"/>
    </row>
    <row r="116" spans="2:5">
      <c r="B116" s="22"/>
      <c r="C116" s="22"/>
      <c r="D116" s="22"/>
      <c r="E116" s="22"/>
    </row>
    <row r="117" spans="2:5">
      <c r="B117" s="22"/>
      <c r="C117" s="22"/>
      <c r="D117" s="22"/>
      <c r="E117" s="22"/>
    </row>
    <row r="118" spans="2:5">
      <c r="B118" s="22"/>
      <c r="C118" s="22"/>
      <c r="D118" s="22"/>
      <c r="E118" s="22"/>
    </row>
    <row r="119" spans="2:5">
      <c r="B119" s="18"/>
      <c r="C119" s="18"/>
      <c r="D119" s="18"/>
      <c r="E119" s="18"/>
    </row>
    <row r="120" spans="2:5">
      <c r="B120" s="18"/>
      <c r="C120" s="18"/>
      <c r="D120" s="18"/>
      <c r="E120" s="18"/>
    </row>
    <row r="121" spans="2:5">
      <c r="B121" s="18"/>
      <c r="C121" s="18"/>
      <c r="D121" s="18"/>
      <c r="E121" s="18"/>
    </row>
    <row r="122" spans="2:5">
      <c r="B122" s="18"/>
      <c r="C122" s="18"/>
      <c r="D122" s="18"/>
      <c r="E122" s="18"/>
    </row>
    <row r="123" spans="2:5">
      <c r="B123" s="18"/>
      <c r="C123" s="18"/>
      <c r="D123" s="18"/>
      <c r="E123" s="18"/>
    </row>
    <row r="124" spans="2:5">
      <c r="B124" s="18"/>
      <c r="C124" s="18"/>
      <c r="D124" s="18"/>
      <c r="E124" s="18"/>
    </row>
    <row r="125" spans="2:5">
      <c r="B125" s="18"/>
      <c r="C125" s="18"/>
      <c r="D125" s="18"/>
      <c r="E125" s="18"/>
    </row>
    <row r="126" spans="2:5">
      <c r="B126" s="18"/>
      <c r="C126" s="18"/>
      <c r="D126" s="18"/>
      <c r="E126" s="18"/>
    </row>
    <row r="127" spans="2:5">
      <c r="B127" s="18"/>
      <c r="C127" s="18"/>
      <c r="D127" s="18"/>
      <c r="E127" s="18"/>
    </row>
    <row r="128" spans="2:5">
      <c r="B128" s="18"/>
      <c r="C128" s="18"/>
      <c r="D128" s="18"/>
      <c r="E128" s="18"/>
    </row>
    <row r="129" spans="2:5">
      <c r="B129" s="18"/>
      <c r="C129" s="18"/>
      <c r="D129" s="18"/>
      <c r="E129" s="18"/>
    </row>
    <row r="130" spans="2:5">
      <c r="B130" s="18"/>
      <c r="C130" s="18"/>
      <c r="D130" s="18"/>
      <c r="E130" s="18"/>
    </row>
    <row r="131" spans="2:5">
      <c r="B131" s="18"/>
      <c r="C131" s="18"/>
      <c r="D131" s="18"/>
      <c r="E131" s="18"/>
    </row>
    <row r="132" spans="2:5">
      <c r="B132" s="18"/>
      <c r="C132" s="18"/>
      <c r="D132" s="18"/>
      <c r="E132" s="18"/>
    </row>
    <row r="133" spans="2:5" ht="17" thickBot="1">
      <c r="B133" s="19"/>
      <c r="C133" s="19"/>
      <c r="D133" s="19"/>
      <c r="E133" s="19"/>
    </row>
  </sheetData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EBDD17-4E06-1441-B9B0-34272B1FD41B}">
  <sheetPr codeName="Sheet3"/>
  <dimension ref="E1:R1"/>
  <sheetViews>
    <sheetView zoomScale="110" zoomScaleNormal="110" workbookViewId="0">
      <selection sqref="A1:XFD1048576"/>
    </sheetView>
  </sheetViews>
  <sheetFormatPr baseColWidth="10" defaultColWidth="11" defaultRowHeight="16"/>
  <cols>
    <col min="1" max="1" width="5.33203125" bestFit="1" customWidth="1"/>
    <col min="2" max="2" width="5" bestFit="1" customWidth="1"/>
    <col min="3" max="5" width="8.5" bestFit="1" customWidth="1"/>
    <col min="6" max="6" width="7.5" bestFit="1" customWidth="1"/>
    <col min="7" max="7" width="7" bestFit="1" customWidth="1"/>
    <col min="8" max="8" width="8" bestFit="1" customWidth="1"/>
    <col min="9" max="9" width="9.1640625" bestFit="1" customWidth="1"/>
    <col min="10" max="10" width="6.1640625" bestFit="1" customWidth="1"/>
  </cols>
  <sheetData>
    <row r="1" spans="5:18">
      <c r="E1" s="98"/>
      <c r="F1" s="99"/>
      <c r="O1" s="20"/>
      <c r="P1" s="20"/>
      <c r="Q1" s="20"/>
      <c r="R1" s="2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E31870-DD9A-BD41-A665-4780BF5050F5}">
  <sheetPr codeName="Sheet4"/>
  <dimension ref="A1:R1"/>
  <sheetViews>
    <sheetView workbookViewId="0">
      <selection sqref="A1:XFD1048576"/>
    </sheetView>
  </sheetViews>
  <sheetFormatPr baseColWidth="10" defaultColWidth="8.83203125" defaultRowHeight="16"/>
  <cols>
    <col min="1" max="1" width="8.83203125" style="100" bestFit="1" customWidth="1"/>
    <col min="2" max="2" width="9.33203125" bestFit="1" customWidth="1"/>
    <col min="3" max="3" width="7.1640625" bestFit="1" customWidth="1"/>
    <col min="4" max="4" width="7.33203125" customWidth="1"/>
    <col min="5" max="5" width="6.83203125" bestFit="1" customWidth="1"/>
    <col min="6" max="6" width="7" bestFit="1" customWidth="1"/>
    <col min="7" max="7" width="6.83203125" bestFit="1" customWidth="1"/>
    <col min="8" max="8" width="7.83203125" bestFit="1" customWidth="1"/>
    <col min="10" max="10" width="6.1640625" bestFit="1" customWidth="1"/>
  </cols>
  <sheetData>
    <row r="1" spans="5:18">
      <c r="E1" s="98"/>
      <c r="F1" s="99"/>
      <c r="O1" s="20"/>
      <c r="P1" s="20"/>
      <c r="Q1" s="20"/>
      <c r="R1" s="21"/>
    </row>
  </sheetData>
  <sortState xmlns:xlrd2="http://schemas.microsoft.com/office/spreadsheetml/2017/richdata2" ref="A2:P367">
    <sortCondition ref="B2:B367"/>
  </sortState>
  <pageMargins left="0.7" right="0.7" top="0.75" bottom="0.75" header="0.3" footer="0.3"/>
  <pageSetup orientation="portrait" horizontalDpi="0" verticalDpi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F52646-F089-2D4E-BB5C-5D1DFC046925}">
  <sheetPr codeName="Sheet5"/>
  <dimension ref="A1:S54760"/>
  <sheetViews>
    <sheetView workbookViewId="0">
      <selection sqref="A1:XFD1048576"/>
    </sheetView>
  </sheetViews>
  <sheetFormatPr baseColWidth="10" defaultColWidth="8.83203125" defaultRowHeight="16"/>
  <cols>
    <col min="1" max="1" width="8.83203125" style="100"/>
    <col min="3" max="3" width="19.33203125" bestFit="1" customWidth="1"/>
  </cols>
  <sheetData>
    <row r="1" spans="6:19">
      <c r="F1" s="98"/>
      <c r="G1" s="99"/>
      <c r="P1" s="20"/>
      <c r="Q1" s="20"/>
      <c r="R1" s="20"/>
      <c r="S1" s="21"/>
    </row>
    <row r="789" spans="2:2">
      <c r="B789" s="101"/>
    </row>
    <row r="1393" spans="2:2">
      <c r="B1393" s="38"/>
    </row>
    <row r="2545" spans="2:2">
      <c r="B2545" s="38"/>
    </row>
    <row r="3653" spans="2:2">
      <c r="B3653" s="38"/>
    </row>
    <row r="4804" spans="2:2">
      <c r="B4804" s="38"/>
    </row>
    <row r="6251" spans="2:2">
      <c r="B6251" s="38"/>
    </row>
    <row r="7843" spans="2:2">
      <c r="B7843" s="38"/>
    </row>
    <row r="9419" spans="2:2">
      <c r="B9419" s="38"/>
    </row>
    <row r="10984" spans="2:2">
      <c r="B10984" s="38"/>
    </row>
    <row r="12584" spans="2:2">
      <c r="B12584" s="38"/>
    </row>
    <row r="14440" spans="2:2">
      <c r="B14440" s="38"/>
    </row>
    <row r="17039" spans="2:2">
      <c r="B17039" s="38"/>
    </row>
    <row r="20405" spans="2:2">
      <c r="B20405" s="38"/>
    </row>
    <row r="24479" spans="2:2">
      <c r="B24479" s="38"/>
    </row>
    <row r="29248" spans="2:2">
      <c r="B29248" s="38"/>
    </row>
    <row r="33277" spans="2:2">
      <c r="B33277" s="38"/>
    </row>
    <row r="36719" spans="2:2">
      <c r="B36719" s="38"/>
    </row>
    <row r="40449" spans="2:2">
      <c r="B40449" s="38"/>
    </row>
    <row r="44003" spans="2:2">
      <c r="B44003" s="38"/>
    </row>
    <row r="47286" spans="2:2">
      <c r="B47286" s="38"/>
    </row>
    <row r="49967" spans="2:2">
      <c r="B49967" s="38"/>
    </row>
    <row r="52144" spans="2:2">
      <c r="B52144" s="38"/>
    </row>
    <row r="53615" spans="2:2">
      <c r="B53615" s="38"/>
    </row>
    <row r="54731" spans="2:2">
      <c r="B54731" s="38"/>
    </row>
    <row r="54760" spans="2:2">
      <c r="B54760" s="38"/>
    </row>
  </sheetData>
  <dataConsolidate/>
  <pageMargins left="0.7" right="0.7" top="0.75" bottom="0.75" header="0.3" footer="0.3"/>
  <pageSetup orientation="portrait" horizontalDpi="0" verticalDpi="0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3469B67-DB6E-475E-9047-096D417BC296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Level1</vt:lpstr>
      <vt:lpstr>Graphs - Pain Index</vt:lpstr>
      <vt:lpstr>Month Buckets </vt:lpstr>
      <vt:lpstr>DOW Buckets</vt:lpstr>
      <vt:lpstr>Hour Buckets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Duncan Scott Martinson</cp:lastModifiedBy>
  <cp:revision/>
  <dcterms:created xsi:type="dcterms:W3CDTF">2019-02-27T13:03:50Z</dcterms:created>
  <dcterms:modified xsi:type="dcterms:W3CDTF">2024-01-11T15:13:55Z</dcterms:modified>
  <cp:category/>
  <cp:contentStatus/>
</cp:coreProperties>
</file>